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B2243707-E3CD-4094-979E-794D9A887BEA}" xr6:coauthVersionLast="47" xr6:coauthVersionMax="47" xr10:uidLastSave="{00000000-0000-0000-0000-000000000000}"/>
  <bookViews>
    <workbookView xWindow="6690" yWindow="1980" windowWidth="24800" windowHeight="18440" tabRatio="926" xr2:uid="{1EA7D4BC-0E71-467A-81F4-8371BAA0CFDB}"/>
  </bookViews>
  <sheets>
    <sheet name="출제유형_01_유형1~3" sheetId="6" r:id="rId1"/>
    <sheet name="02_유형1~3" sheetId="8" r:id="rId2"/>
    <sheet name="03_유형1~4" sheetId="9" r:id="rId3"/>
    <sheet name="04_유형1~3" sheetId="10" r:id="rId4"/>
    <sheet name="대표기출문제_기출1~6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I36" i="1"/>
  <c r="D18" i="1"/>
  <c r="D19" i="1"/>
  <c r="D20" i="1"/>
  <c r="D21" i="1"/>
  <c r="D22" i="1"/>
  <c r="D23" i="1"/>
  <c r="D24" i="1"/>
  <c r="D17" i="1"/>
  <c r="I22" i="1"/>
  <c r="I23" i="1"/>
  <c r="I24" i="1"/>
  <c r="I25" i="1"/>
  <c r="I26" i="1"/>
  <c r="I27" i="1"/>
  <c r="I28" i="1"/>
  <c r="I21" i="1"/>
  <c r="I4" i="1"/>
  <c r="I5" i="1"/>
  <c r="I6" i="1"/>
  <c r="I7" i="1"/>
  <c r="I3" i="1"/>
  <c r="D4" i="1"/>
  <c r="D5" i="1"/>
  <c r="D6" i="1"/>
  <c r="D7" i="1"/>
  <c r="D8" i="1"/>
  <c r="D9" i="1"/>
  <c r="D3" i="1"/>
  <c r="I12" i="10" l="1" a="1"/>
  <c r="I12" i="10" s="1"/>
  <c r="D20" i="10"/>
  <c r="D4" i="10"/>
  <c r="D5" i="10"/>
  <c r="D3" i="10"/>
  <c r="D4" i="9"/>
  <c r="E4" i="9"/>
  <c r="F4" i="9"/>
  <c r="G4" i="9"/>
  <c r="D5" i="9"/>
  <c r="E5" i="9"/>
  <c r="F5" i="9"/>
  <c r="G5" i="9"/>
  <c r="D6" i="9"/>
  <c r="E6" i="9"/>
  <c r="F6" i="9"/>
  <c r="G6" i="9"/>
  <c r="D7" i="9"/>
  <c r="E7" i="9"/>
  <c r="F7" i="9"/>
  <c r="G7" i="9"/>
  <c r="G3" i="9"/>
  <c r="F3" i="9"/>
  <c r="E3" i="9"/>
  <c r="D3" i="9"/>
  <c r="E4" i="8"/>
  <c r="F4" i="8"/>
  <c r="E5" i="8"/>
  <c r="F5" i="8"/>
  <c r="E6" i="8"/>
  <c r="F3" i="8"/>
  <c r="E3" i="8"/>
  <c r="E4" i="6"/>
  <c r="F4" i="6"/>
  <c r="G4" i="6"/>
  <c r="E5" i="6"/>
  <c r="F5" i="6"/>
  <c r="G5" i="6"/>
  <c r="G3" i="6"/>
  <c r="F3" i="6"/>
  <c r="E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<sst xmlns="http://schemas.openxmlformats.org/spreadsheetml/2006/main" count="240" uniqueCount="188">
  <si>
    <t>[표1]</t>
  </si>
  <si>
    <t>사원코드</t>
  </si>
  <si>
    <t>입사일자</t>
  </si>
  <si>
    <t>근태</t>
  </si>
  <si>
    <t>실적</t>
  </si>
  <si>
    <t>직위</t>
  </si>
  <si>
    <t>평가</t>
  </si>
  <si>
    <t>휴가일수</t>
  </si>
  <si>
    <t>G4A-603</t>
  </si>
  <si>
    <t>대리</t>
  </si>
  <si>
    <t>준수</t>
  </si>
  <si>
    <t>21일</t>
  </si>
  <si>
    <t>B1S-589</t>
  </si>
  <si>
    <t>사원</t>
  </si>
  <si>
    <t>우수</t>
  </si>
  <si>
    <t>18일</t>
  </si>
  <si>
    <t>T5E-465</t>
  </si>
  <si>
    <t>과장</t>
  </si>
  <si>
    <t>노력</t>
  </si>
  <si>
    <t>&lt;직위분류표&gt;</t>
  </si>
  <si>
    <t>코드</t>
  </si>
  <si>
    <t>E</t>
  </si>
  <si>
    <t>A</t>
  </si>
  <si>
    <t>S</t>
  </si>
  <si>
    <t>&lt;인사평가표&gt;</t>
  </si>
  <si>
    <t>평균</t>
  </si>
  <si>
    <t>&lt;휴가관리표&gt;</t>
  </si>
  <si>
    <t>근무년수</t>
  </si>
  <si>
    <t>15일</t>
  </si>
  <si>
    <t>구분</t>
  </si>
  <si>
    <t>등급</t>
  </si>
  <si>
    <t>망원점</t>
  </si>
  <si>
    <t>제품코드</t>
  </si>
  <si>
    <t>판매량</t>
  </si>
  <si>
    <t>재고량</t>
  </si>
  <si>
    <t>판매점</t>
  </si>
  <si>
    <t>제품명</t>
  </si>
  <si>
    <t>W-A-52</t>
  </si>
  <si>
    <t>마포점</t>
  </si>
  <si>
    <t>세탁기</t>
  </si>
  <si>
    <t>2위</t>
  </si>
  <si>
    <t>S-M-24</t>
  </si>
  <si>
    <t>서교점</t>
  </si>
  <si>
    <t>TV</t>
  </si>
  <si>
    <t>3위</t>
  </si>
  <si>
    <t>R-E-87</t>
  </si>
  <si>
    <t>냉장고</t>
  </si>
  <si>
    <t>1위</t>
  </si>
  <si>
    <t>판매량이 가장 많은 판매점</t>
  </si>
  <si>
    <t>&lt;제품분류표&gt;</t>
  </si>
  <si>
    <t>&lt;판매실적표&gt;</t>
  </si>
  <si>
    <t>순위</t>
  </si>
  <si>
    <t>R</t>
  </si>
  <si>
    <t>W</t>
  </si>
  <si>
    <t>주민등록번호</t>
  </si>
  <si>
    <t>시험일자</t>
  </si>
  <si>
    <t>시험</t>
  </si>
  <si>
    <t>성별</t>
  </si>
  <si>
    <t>시험요일</t>
  </si>
  <si>
    <t>결과</t>
  </si>
  <si>
    <t>950302-285****</t>
  </si>
  <si>
    <t>971117-132****</t>
  </si>
  <si>
    <t>010524-419****</t>
  </si>
  <si>
    <t>020120-467****</t>
  </si>
  <si>
    <t>011219-358****</t>
  </si>
  <si>
    <t>요일</t>
  </si>
  <si>
    <t>[표2]</t>
  </si>
  <si>
    <t>수량</t>
  </si>
  <si>
    <t>수출총액</t>
  </si>
  <si>
    <t>환전총액</t>
  </si>
  <si>
    <t>지역</t>
  </si>
  <si>
    <t>서울</t>
  </si>
  <si>
    <t xml:space="preserve"> 천안 </t>
  </si>
  <si>
    <t xml:space="preserve"> 대구 </t>
  </si>
  <si>
    <t>CA-393</t>
  </si>
  <si>
    <t>CA-781</t>
  </si>
  <si>
    <t>CA-638</t>
  </si>
  <si>
    <t>&lt;환율&gt;</t>
  </si>
  <si>
    <t>&lt;지역코드표&gt;</t>
  </si>
  <si>
    <t>국가</t>
  </si>
  <si>
    <t>환율</t>
  </si>
  <si>
    <t>미국</t>
  </si>
  <si>
    <t>번호</t>
  </si>
  <si>
    <t>일본</t>
  </si>
  <si>
    <t>호주</t>
  </si>
  <si>
    <t>출발지</t>
  </si>
  <si>
    <t>도착지</t>
  </si>
  <si>
    <t>요금</t>
  </si>
  <si>
    <t>영국</t>
  </si>
  <si>
    <t>[표3]</t>
  </si>
  <si>
    <t>이름</t>
  </si>
  <si>
    <t>중간고사</t>
  </si>
  <si>
    <t>기말고사</t>
  </si>
  <si>
    <t>조광희</t>
  </si>
  <si>
    <t>장미유</t>
  </si>
  <si>
    <t>김영택</t>
  </si>
  <si>
    <t>이희도</t>
  </si>
  <si>
    <t>평균이 가장 높은 학생</t>
  </si>
  <si>
    <t>할인율</t>
  </si>
  <si>
    <t>상공학원 등록현황</t>
  </si>
  <si>
    <t>학생관리현황</t>
  </si>
  <si>
    <t>수강코드</t>
  </si>
  <si>
    <t>수강자명</t>
  </si>
  <si>
    <t>기본료</t>
  </si>
  <si>
    <t>수강료</t>
  </si>
  <si>
    <t>학생명</t>
  </si>
  <si>
    <t>생년월일</t>
  </si>
  <si>
    <t>태어난요일</t>
  </si>
  <si>
    <t>A-9635</t>
  </si>
  <si>
    <t>박하연</t>
  </si>
  <si>
    <t>김예은</t>
  </si>
  <si>
    <t>여</t>
  </si>
  <si>
    <t>토요일</t>
  </si>
  <si>
    <t>S-5141</t>
  </si>
  <si>
    <t>조영진</t>
  </si>
  <si>
    <t>이중희</t>
  </si>
  <si>
    <t>남</t>
  </si>
  <si>
    <t>일요일</t>
  </si>
  <si>
    <t>A-4094</t>
  </si>
  <si>
    <t>차은미</t>
  </si>
  <si>
    <t>고인자</t>
  </si>
  <si>
    <t>월요일</t>
  </si>
  <si>
    <t>T-3732</t>
  </si>
  <si>
    <t>장석영</t>
  </si>
  <si>
    <t>유명희</t>
  </si>
  <si>
    <t>화요일</t>
  </si>
  <si>
    <t>T-0687</t>
  </si>
  <si>
    <t>김부성</t>
  </si>
  <si>
    <t>최경훈</t>
  </si>
  <si>
    <t>금요일</t>
  </si>
  <si>
    <t>A-5514</t>
  </si>
  <si>
    <t>전성기</t>
  </si>
  <si>
    <t>S-1209</t>
  </si>
  <si>
    <t>신의주</t>
  </si>
  <si>
    <t>&lt;요일구분표&gt;</t>
  </si>
  <si>
    <t>&lt;할인율표&gt;</t>
  </si>
  <si>
    <t>T</t>
  </si>
  <si>
    <t>수요일</t>
  </si>
  <si>
    <t>목요일</t>
  </si>
  <si>
    <t>문구류생산현황</t>
  </si>
  <si>
    <t>문구코드</t>
  </si>
  <si>
    <t>생산단가</t>
  </si>
  <si>
    <t>생산량</t>
  </si>
  <si>
    <t>문구명</t>
  </si>
  <si>
    <t>2-BI-C9</t>
  </si>
  <si>
    <t>3-SK-L4</t>
  </si>
  <si>
    <t>1-PS-N3</t>
  </si>
  <si>
    <t>[표4]</t>
  </si>
  <si>
    <t>강좌수강현황</t>
  </si>
  <si>
    <t>2-BC-A3</t>
  </si>
  <si>
    <t>성명</t>
  </si>
  <si>
    <t>1-PA-H5</t>
  </si>
  <si>
    <t>김은하</t>
  </si>
  <si>
    <t>3-SF-E7</t>
  </si>
  <si>
    <t>전현석</t>
  </si>
  <si>
    <t>2-BD-S8</t>
  </si>
  <si>
    <t>이강남</t>
  </si>
  <si>
    <t>3-SL-P1</t>
  </si>
  <si>
    <t>최미진</t>
  </si>
  <si>
    <t>고승연</t>
  </si>
  <si>
    <t>[표5]</t>
  </si>
  <si>
    <t>김정현</t>
  </si>
  <si>
    <t>이혜원</t>
  </si>
  <si>
    <t>신정환</t>
  </si>
  <si>
    <t>[표6]</t>
  </si>
  <si>
    <t>국가별 환율</t>
  </si>
  <si>
    <t>통화</t>
  </si>
  <si>
    <t>USD</t>
  </si>
  <si>
    <t>GBP</t>
  </si>
  <si>
    <t>CAD</t>
  </si>
  <si>
    <t>HKD</t>
  </si>
  <si>
    <t>JPY</t>
  </si>
  <si>
    <t>1학년 성적표</t>
    <phoneticPr fontId="1" type="noConversion"/>
  </si>
  <si>
    <t>이름</t>
    <phoneticPr fontId="1" type="noConversion"/>
  </si>
  <si>
    <t>성별</t>
    <phoneticPr fontId="1" type="noConversion"/>
  </si>
  <si>
    <t>반</t>
    <phoneticPr fontId="1" type="noConversion"/>
  </si>
  <si>
    <t>평균</t>
    <phoneticPr fontId="1" type="noConversion"/>
  </si>
  <si>
    <t>이중원</t>
    <phoneticPr fontId="1" type="noConversion"/>
  </si>
  <si>
    <t>남</t>
    <phoneticPr fontId="1" type="noConversion"/>
  </si>
  <si>
    <t>김윤선</t>
    <phoneticPr fontId="1" type="noConversion"/>
  </si>
  <si>
    <t>여</t>
    <phoneticPr fontId="1" type="noConversion"/>
  </si>
  <si>
    <t>이현숙</t>
    <phoneticPr fontId="1" type="noConversion"/>
  </si>
  <si>
    <t>조정휴</t>
    <phoneticPr fontId="1" type="noConversion"/>
  </si>
  <si>
    <t>한상현</t>
    <phoneticPr fontId="1" type="noConversion"/>
  </si>
  <si>
    <t>박영선</t>
    <phoneticPr fontId="1" type="noConversion"/>
  </si>
  <si>
    <t>강현준</t>
    <phoneticPr fontId="1" type="noConversion"/>
  </si>
  <si>
    <t>윤소정</t>
    <phoneticPr fontId="1" type="noConversion"/>
  </si>
  <si>
    <t>평균이 가장 높은 남학생 이름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</si>
</sst>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7"/>
  <sheetViews>
    <sheetView tabSelected="1" workbookViewId="0"/>
  </sheetViews>
  <sheetFormatPr defaultRowHeight="17" x14ac:dyDescent="0.45"/>
  <cols>
    <col min="2" max="2" width="11.08203125" bestFit="1" customWidth="1"/>
    <col min="3" max="6" width="6.58203125" customWidth="1"/>
  </cols>
  <sheetData>
    <row r="1" spans="1:7" x14ac:dyDescent="0.45">
      <c r="A1" s="1" t="s">
        <v>0</v>
      </c>
    </row>
    <row r="2" spans="1:7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  <c r="F2" s="4" t="s">
        <v>6</v>
      </c>
      <c r="G2" s="4" t="s">
        <v>7</v>
      </c>
    </row>
    <row r="3" spans="1:7" x14ac:dyDescent="0.45">
      <c r="A3" s="2" t="s">
        <v>8</v>
      </c>
      <c r="B3" s="9">
        <v>44003</v>
      </c>
      <c r="C3" s="2">
        <v>87</v>
      </c>
      <c r="D3" s="2">
        <v>84</v>
      </c>
      <c r="E3" s="2" t="str">
        <f>HLOOKUP(MID(A3,3,1),$B$8:$D$9,2,FALSE)</f>
        <v>대리</v>
      </c>
      <c r="F3" s="2" t="str">
        <f>HLOOKUP(AVERAGE(C3:D3),$B$12:$D$13,2)</f>
        <v>준수</v>
      </c>
      <c r="G3" s="2" t="str">
        <f ca="1">HLOOKUP(YEAR(TODAY())-YEAR(B3),$B$16:$D$17,2)</f>
        <v>18일</v>
      </c>
    </row>
    <row r="4" spans="1:7" x14ac:dyDescent="0.45">
      <c r="A4" s="2" t="s">
        <v>12</v>
      </c>
      <c r="B4" s="9">
        <v>44900</v>
      </c>
      <c r="C4" s="2">
        <v>95</v>
      </c>
      <c r="D4" s="2">
        <v>92</v>
      </c>
      <c r="E4" s="2" t="str">
        <f t="shared" ref="E4:E5" si="0">HLOOKUP(MID(A4,3,1),$B$8:$D$9,2,FALSE)</f>
        <v>사원</v>
      </c>
      <c r="F4" s="2" t="str">
        <f t="shared" ref="F4:F5" si="1">HLOOKUP(AVERAGE(C4:D4),$B$12:$D$13,2)</f>
        <v>우수</v>
      </c>
      <c r="G4" s="2" t="str">
        <f t="shared" ref="G4:G5" ca="1" si="2">HLOOKUP(YEAR(TODAY())-YEAR(B4),$B$16:$D$17,2)</f>
        <v>15일</v>
      </c>
    </row>
    <row r="5" spans="1:7" x14ac:dyDescent="0.45">
      <c r="A5" s="2" t="s">
        <v>16</v>
      </c>
      <c r="B5" s="9">
        <v>42841</v>
      </c>
      <c r="C5" s="2">
        <v>71</v>
      </c>
      <c r="D5" s="2">
        <v>72</v>
      </c>
      <c r="E5" s="2" t="str">
        <f t="shared" si="0"/>
        <v>과장</v>
      </c>
      <c r="F5" s="2" t="str">
        <f t="shared" si="1"/>
        <v>노력</v>
      </c>
      <c r="G5" s="2" t="str">
        <f t="shared" ca="1" si="2"/>
        <v>21일</v>
      </c>
    </row>
    <row r="7" spans="1:7" x14ac:dyDescent="0.45">
      <c r="A7" t="s">
        <v>19</v>
      </c>
    </row>
    <row r="8" spans="1:7" x14ac:dyDescent="0.45">
      <c r="A8" s="2" t="s">
        <v>20</v>
      </c>
      <c r="B8" s="2" t="s">
        <v>21</v>
      </c>
      <c r="C8" s="2" t="s">
        <v>22</v>
      </c>
      <c r="D8" s="2" t="s">
        <v>23</v>
      </c>
    </row>
    <row r="9" spans="1:7" x14ac:dyDescent="0.45">
      <c r="A9" s="2" t="s">
        <v>5</v>
      </c>
      <c r="B9" s="2" t="s">
        <v>17</v>
      </c>
      <c r="C9" s="2" t="s">
        <v>9</v>
      </c>
      <c r="D9" s="2" t="s">
        <v>13</v>
      </c>
    </row>
    <row r="11" spans="1:7" x14ac:dyDescent="0.45">
      <c r="A11" t="s">
        <v>24</v>
      </c>
    </row>
    <row r="12" spans="1:7" x14ac:dyDescent="0.45">
      <c r="A12" s="2" t="s">
        <v>25</v>
      </c>
      <c r="B12" s="2">
        <v>60</v>
      </c>
      <c r="C12" s="2">
        <v>80</v>
      </c>
      <c r="D12" s="2">
        <v>90</v>
      </c>
    </row>
    <row r="13" spans="1:7" x14ac:dyDescent="0.45">
      <c r="A13" s="2" t="s">
        <v>6</v>
      </c>
      <c r="B13" s="2" t="s">
        <v>18</v>
      </c>
      <c r="C13" s="2" t="s">
        <v>10</v>
      </c>
      <c r="D13" s="2" t="s">
        <v>14</v>
      </c>
    </row>
    <row r="15" spans="1:7" x14ac:dyDescent="0.45">
      <c r="A15" t="s">
        <v>26</v>
      </c>
    </row>
    <row r="16" spans="1:7" x14ac:dyDescent="0.45">
      <c r="A16" s="2" t="s">
        <v>27</v>
      </c>
      <c r="B16" s="2">
        <v>1</v>
      </c>
      <c r="C16" s="2">
        <v>3</v>
      </c>
      <c r="D16" s="2">
        <v>5</v>
      </c>
    </row>
    <row r="17" spans="1:4" x14ac:dyDescent="0.45">
      <c r="A17" s="2" t="s">
        <v>7</v>
      </c>
      <c r="B17" s="2" t="s">
        <v>28</v>
      </c>
      <c r="C17" s="2" t="s">
        <v>15</v>
      </c>
      <c r="D17" s="2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ignoredErrors>
    <ignoredError sqref="F3:F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2"/>
  <sheetViews>
    <sheetView workbookViewId="0"/>
  </sheetViews>
  <sheetFormatPr defaultRowHeight="17" x14ac:dyDescent="0.45"/>
  <cols>
    <col min="2" max="6" width="8.08203125" customWidth="1"/>
  </cols>
  <sheetData>
    <row r="1" spans="1:6" x14ac:dyDescent="0.45">
      <c r="A1" s="1" t="s">
        <v>0</v>
      </c>
    </row>
    <row r="2" spans="1:6" x14ac:dyDescent="0.45">
      <c r="A2" s="2" t="s">
        <v>32</v>
      </c>
      <c r="B2" s="2" t="s">
        <v>33</v>
      </c>
      <c r="C2" s="2" t="s">
        <v>34</v>
      </c>
      <c r="D2" s="2" t="s">
        <v>35</v>
      </c>
      <c r="E2" s="4" t="s">
        <v>36</v>
      </c>
      <c r="F2" s="4" t="s">
        <v>4</v>
      </c>
    </row>
    <row r="3" spans="1:6" x14ac:dyDescent="0.45">
      <c r="A3" s="2" t="s">
        <v>37</v>
      </c>
      <c r="B3" s="2">
        <v>324</v>
      </c>
      <c r="C3" s="2">
        <v>32</v>
      </c>
      <c r="D3" s="2" t="s">
        <v>38</v>
      </c>
      <c r="E3" s="2" t="str">
        <f>VLOOKUP(LEFT(A3,1),$A$10:$B$12,2,FALSE)</f>
        <v>세탁기</v>
      </c>
      <c r="F3" s="2" t="str">
        <f>VLOOKUP(_xlfn.RANK.EQ(B3,$B$3:$B$5),$D$10:$E$12,2)</f>
        <v>2위</v>
      </c>
    </row>
    <row r="4" spans="1:6" x14ac:dyDescent="0.45">
      <c r="A4" s="2" t="s">
        <v>41</v>
      </c>
      <c r="B4" s="2">
        <v>261</v>
      </c>
      <c r="C4" s="2">
        <v>18</v>
      </c>
      <c r="D4" s="2" t="s">
        <v>42</v>
      </c>
      <c r="E4" s="2" t="str">
        <f t="shared" ref="E4:E5" si="0">VLOOKUP(LEFT(A4,1),$A$10:$B$12,2,FALSE)</f>
        <v>TV</v>
      </c>
      <c r="F4" s="2" t="str">
        <f t="shared" ref="F4:F5" si="1">VLOOKUP(_xlfn.RANK.EQ(B4,$B$3:$B$5),$D$10:$E$12,2)</f>
        <v>3위</v>
      </c>
    </row>
    <row r="5" spans="1:6" x14ac:dyDescent="0.45">
      <c r="A5" s="2" t="s">
        <v>45</v>
      </c>
      <c r="B5" s="2">
        <v>357</v>
      </c>
      <c r="C5" s="2">
        <v>34</v>
      </c>
      <c r="D5" s="2" t="s">
        <v>31</v>
      </c>
      <c r="E5" s="2" t="str">
        <f t="shared" si="0"/>
        <v>냉장고</v>
      </c>
      <c r="F5" s="2" t="str">
        <f t="shared" si="1"/>
        <v>1위</v>
      </c>
    </row>
    <row r="6" spans="1:6" x14ac:dyDescent="0.45">
      <c r="A6" s="12" t="s">
        <v>48</v>
      </c>
      <c r="B6" s="13"/>
      <c r="C6" s="13"/>
      <c r="D6" s="14"/>
      <c r="E6" s="10" t="str">
        <f>VLOOKUP(LARGE(B3:B5,1),B3:D5,3,FALSE)</f>
        <v>망원점</v>
      </c>
      <c r="F6" s="11"/>
    </row>
    <row r="8" spans="1:6" x14ac:dyDescent="0.45">
      <c r="A8" s="15" t="s">
        <v>49</v>
      </c>
      <c r="B8" s="15"/>
      <c r="D8" s="15" t="s">
        <v>50</v>
      </c>
      <c r="E8" s="15"/>
    </row>
    <row r="9" spans="1:6" x14ac:dyDescent="0.45">
      <c r="A9" s="2" t="s">
        <v>20</v>
      </c>
      <c r="B9" s="2" t="s">
        <v>36</v>
      </c>
      <c r="D9" s="2" t="s">
        <v>51</v>
      </c>
      <c r="E9" s="2" t="s">
        <v>4</v>
      </c>
    </row>
    <row r="10" spans="1:6" x14ac:dyDescent="0.45">
      <c r="A10" s="2" t="s">
        <v>52</v>
      </c>
      <c r="B10" s="2" t="s">
        <v>46</v>
      </c>
      <c r="D10" s="2">
        <v>1</v>
      </c>
      <c r="E10" s="2" t="s">
        <v>47</v>
      </c>
    </row>
    <row r="11" spans="1:6" x14ac:dyDescent="0.45">
      <c r="A11" s="2" t="s">
        <v>53</v>
      </c>
      <c r="B11" s="2" t="s">
        <v>39</v>
      </c>
      <c r="D11" s="2">
        <v>2</v>
      </c>
      <c r="E11" s="2" t="s">
        <v>40</v>
      </c>
    </row>
    <row r="12" spans="1:6" x14ac:dyDescent="0.45">
      <c r="A12" s="2" t="s">
        <v>23</v>
      </c>
      <c r="B12" s="2" t="s">
        <v>43</v>
      </c>
      <c r="D12" s="2">
        <v>3</v>
      </c>
      <c r="E12" s="2" t="s">
        <v>44</v>
      </c>
    </row>
  </sheetData>
  <mergeCells count="4">
    <mergeCell ref="E6:F6"/>
    <mergeCell ref="A6:D6"/>
    <mergeCell ref="D8:E8"/>
    <mergeCell ref="A8:B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G7"/>
  <sheetViews>
    <sheetView workbookViewId="0"/>
  </sheetViews>
  <sheetFormatPr defaultRowHeight="17" x14ac:dyDescent="0.45"/>
  <cols>
    <col min="1" max="1" width="14.75" bestFit="1" customWidth="1"/>
    <col min="2" max="2" width="11.08203125" bestFit="1" customWidth="1"/>
    <col min="3" max="4" width="7.08203125" customWidth="1"/>
    <col min="6" max="7" width="7.08203125" customWidth="1"/>
  </cols>
  <sheetData>
    <row r="1" spans="1:7" x14ac:dyDescent="0.45">
      <c r="A1" s="1" t="s">
        <v>0</v>
      </c>
    </row>
    <row r="2" spans="1:7" x14ac:dyDescent="0.45">
      <c r="A2" s="2" t="s">
        <v>54</v>
      </c>
      <c r="B2" s="2" t="s">
        <v>55</v>
      </c>
      <c r="C2" s="2" t="s">
        <v>56</v>
      </c>
      <c r="D2" s="4" t="s">
        <v>57</v>
      </c>
      <c r="E2" s="4" t="s">
        <v>58</v>
      </c>
      <c r="F2" s="4" t="s">
        <v>59</v>
      </c>
      <c r="G2" s="4" t="s">
        <v>30</v>
      </c>
    </row>
    <row r="3" spans="1:7" x14ac:dyDescent="0.45">
      <c r="A3" s="2" t="s">
        <v>60</v>
      </c>
      <c r="B3" s="3">
        <v>45374</v>
      </c>
      <c r="C3" s="2">
        <v>66</v>
      </c>
      <c r="D3" s="2" t="str">
        <f>CHOOSE(MID(A3,8,1),"남","여","남","여")</f>
        <v>여</v>
      </c>
      <c r="E3" s="2" t="str">
        <f>CHOOSE(WEEKDAY(B3),"일","월","화","수","목","금","토")</f>
        <v>토</v>
      </c>
      <c r="F3" s="2" t="str">
        <f>CHOOSE(_xlfn.RANK.EQ(C3,$C$3:$C$7),"최우수","우수","","","")</f>
        <v/>
      </c>
      <c r="G3" s="2" t="str">
        <f>CHOOSE(INT(C3/10)+1,"가","가","가","가","가","가","양","미","우","수","수")</f>
        <v>양</v>
      </c>
    </row>
    <row r="4" spans="1:7" x14ac:dyDescent="0.45">
      <c r="A4" s="2" t="s">
        <v>61</v>
      </c>
      <c r="B4" s="3">
        <v>45376</v>
      </c>
      <c r="C4" s="2">
        <v>96</v>
      </c>
      <c r="D4" s="2" t="str">
        <f t="shared" ref="D4:D7" si="0">CHOOSE(MID(A4,8,1),"남","여","남","여")</f>
        <v>남</v>
      </c>
      <c r="E4" s="2" t="str">
        <f t="shared" ref="E4:E7" si="1">CHOOSE(WEEKDAY(B4),"일","월","화","수","목","금","토")</f>
        <v>월</v>
      </c>
      <c r="F4" s="2" t="str">
        <f t="shared" ref="F4:F7" si="2">CHOOSE(_xlfn.RANK.EQ(C4,$C$3:$C$7),"최우수","우수","","","")</f>
        <v>최우수</v>
      </c>
      <c r="G4" s="2" t="str">
        <f t="shared" ref="G4:G7" si="3">CHOOSE(INT(C4/10)+1,"가","가","가","가","가","가","양","미","우","수","수")</f>
        <v>수</v>
      </c>
    </row>
    <row r="5" spans="1:7" x14ac:dyDescent="0.45">
      <c r="A5" s="2" t="s">
        <v>62</v>
      </c>
      <c r="B5" s="3">
        <v>45378</v>
      </c>
      <c r="C5" s="2">
        <v>54</v>
      </c>
      <c r="D5" s="2" t="str">
        <f t="shared" si="0"/>
        <v>여</v>
      </c>
      <c r="E5" s="2" t="str">
        <f t="shared" si="1"/>
        <v>수</v>
      </c>
      <c r="F5" s="2" t="str">
        <f t="shared" si="2"/>
        <v/>
      </c>
      <c r="G5" s="2" t="str">
        <f t="shared" si="3"/>
        <v>가</v>
      </c>
    </row>
    <row r="6" spans="1:7" x14ac:dyDescent="0.45">
      <c r="A6" s="2" t="s">
        <v>63</v>
      </c>
      <c r="B6" s="3">
        <v>45379</v>
      </c>
      <c r="C6" s="2">
        <v>79</v>
      </c>
      <c r="D6" s="2" t="str">
        <f t="shared" si="0"/>
        <v>여</v>
      </c>
      <c r="E6" s="2" t="str">
        <f t="shared" si="1"/>
        <v>목</v>
      </c>
      <c r="F6" s="2" t="str">
        <f t="shared" si="2"/>
        <v/>
      </c>
      <c r="G6" s="2" t="str">
        <f t="shared" si="3"/>
        <v>미</v>
      </c>
    </row>
    <row r="7" spans="1:7" x14ac:dyDescent="0.45">
      <c r="A7" s="2" t="s">
        <v>64</v>
      </c>
      <c r="B7" s="3">
        <v>45380</v>
      </c>
      <c r="C7" s="2">
        <v>85</v>
      </c>
      <c r="D7" s="2" t="str">
        <f t="shared" si="0"/>
        <v>남</v>
      </c>
      <c r="E7" s="2" t="str">
        <f t="shared" si="1"/>
        <v>금</v>
      </c>
      <c r="F7" s="2" t="str">
        <f t="shared" si="2"/>
        <v>우수</v>
      </c>
      <c r="G7" s="2" t="str">
        <f t="shared" si="3"/>
        <v>우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I20"/>
  <sheetViews>
    <sheetView workbookViewId="0"/>
  </sheetViews>
  <sheetFormatPr defaultRowHeight="17" x14ac:dyDescent="0.45"/>
  <cols>
    <col min="2" max="2" width="9" bestFit="1" customWidth="1"/>
    <col min="3" max="3" width="11.83203125" bestFit="1" customWidth="1"/>
    <col min="4" max="4" width="9" bestFit="1" customWidth="1"/>
    <col min="5" max="5" width="5.58203125" customWidth="1"/>
    <col min="6" max="9" width="8.58203125" customWidth="1"/>
  </cols>
  <sheetData>
    <row r="1" spans="1:9" x14ac:dyDescent="0.45">
      <c r="A1" s="1" t="s">
        <v>0</v>
      </c>
      <c r="F1" s="6" t="s">
        <v>66</v>
      </c>
    </row>
    <row r="2" spans="1:9" x14ac:dyDescent="0.45">
      <c r="A2" s="2" t="s">
        <v>32</v>
      </c>
      <c r="B2" s="2" t="s">
        <v>67</v>
      </c>
      <c r="C2" s="2" t="s">
        <v>68</v>
      </c>
      <c r="D2" s="4" t="s">
        <v>69</v>
      </c>
      <c r="F2" s="2" t="s">
        <v>70</v>
      </c>
      <c r="G2" s="2" t="s">
        <v>71</v>
      </c>
      <c r="H2" s="2" t="s">
        <v>72</v>
      </c>
      <c r="I2" s="2" t="s">
        <v>73</v>
      </c>
    </row>
    <row r="3" spans="1:9" x14ac:dyDescent="0.45">
      <c r="A3" s="2" t="s">
        <v>74</v>
      </c>
      <c r="B3" s="5">
        <v>1200</v>
      </c>
      <c r="C3" s="5">
        <v>43500000</v>
      </c>
      <c r="D3" s="5">
        <f>TRUNC(C3/INDEX($A$9:$B$12,MATCH("호주",$A$9:$A$12,0),2))</f>
        <v>50173</v>
      </c>
      <c r="F3" s="2" t="s">
        <v>71</v>
      </c>
      <c r="G3" s="5">
        <v>3600</v>
      </c>
      <c r="H3" s="5">
        <v>6500</v>
      </c>
      <c r="I3" s="5">
        <v>27400</v>
      </c>
    </row>
    <row r="4" spans="1:9" x14ac:dyDescent="0.45">
      <c r="A4" s="2" t="s">
        <v>75</v>
      </c>
      <c r="B4" s="5">
        <v>1550</v>
      </c>
      <c r="C4" s="5">
        <v>72500000</v>
      </c>
      <c r="D4" s="5">
        <f t="shared" ref="D4:D5" si="0">TRUNC(C4/INDEX($A$9:$B$12,MATCH("호주",$A$9:$A$12,0),2))</f>
        <v>83621</v>
      </c>
      <c r="F4" s="2" t="s">
        <v>72</v>
      </c>
      <c r="G4" s="5">
        <v>6500</v>
      </c>
      <c r="H4" s="5">
        <v>2800</v>
      </c>
      <c r="I4" s="5">
        <v>17900</v>
      </c>
    </row>
    <row r="5" spans="1:9" x14ac:dyDescent="0.45">
      <c r="A5" s="2" t="s">
        <v>76</v>
      </c>
      <c r="B5" s="5">
        <v>1400</v>
      </c>
      <c r="C5" s="5">
        <v>52000000</v>
      </c>
      <c r="D5" s="5">
        <f t="shared" si="0"/>
        <v>59976</v>
      </c>
      <c r="F5" s="2" t="s">
        <v>73</v>
      </c>
      <c r="G5" s="5">
        <v>27400</v>
      </c>
      <c r="H5" s="5">
        <v>17900</v>
      </c>
      <c r="I5" s="5">
        <v>3200</v>
      </c>
    </row>
    <row r="7" spans="1:9" x14ac:dyDescent="0.45">
      <c r="A7" s="16" t="s">
        <v>77</v>
      </c>
      <c r="B7" s="16"/>
      <c r="F7" t="s">
        <v>78</v>
      </c>
    </row>
    <row r="8" spans="1:9" x14ac:dyDescent="0.45">
      <c r="A8" s="2" t="s">
        <v>79</v>
      </c>
      <c r="B8" s="2" t="s">
        <v>80</v>
      </c>
      <c r="F8" s="2" t="s">
        <v>70</v>
      </c>
      <c r="G8" s="2" t="s">
        <v>71</v>
      </c>
      <c r="H8" s="2" t="s">
        <v>72</v>
      </c>
      <c r="I8" s="2" t="s">
        <v>73</v>
      </c>
    </row>
    <row r="9" spans="1:9" x14ac:dyDescent="0.45">
      <c r="A9" s="2" t="s">
        <v>81</v>
      </c>
      <c r="B9" s="5">
        <v>1122</v>
      </c>
      <c r="F9" s="2" t="s">
        <v>82</v>
      </c>
      <c r="G9" s="2">
        <v>1</v>
      </c>
      <c r="H9" s="2">
        <v>2</v>
      </c>
      <c r="I9" s="2">
        <v>3</v>
      </c>
    </row>
    <row r="10" spans="1:9" x14ac:dyDescent="0.45">
      <c r="A10" s="2" t="s">
        <v>83</v>
      </c>
      <c r="B10" s="5">
        <v>1032</v>
      </c>
    </row>
    <row r="11" spans="1:9" x14ac:dyDescent="0.45">
      <c r="A11" s="2" t="s">
        <v>84</v>
      </c>
      <c r="B11" s="5">
        <v>867</v>
      </c>
      <c r="G11" s="2" t="s">
        <v>85</v>
      </c>
      <c r="H11" s="2" t="s">
        <v>86</v>
      </c>
      <c r="I11" s="4" t="s">
        <v>87</v>
      </c>
    </row>
    <row r="12" spans="1:9" x14ac:dyDescent="0.45">
      <c r="A12" s="2" t="s">
        <v>88</v>
      </c>
      <c r="B12" s="5">
        <v>1591</v>
      </c>
      <c r="G12" s="2" t="s">
        <v>73</v>
      </c>
      <c r="H12" s="2" t="s">
        <v>72</v>
      </c>
      <c r="I12" s="5" cm="1">
        <f t="array" ref="I12">INDEX(G3:I5,HLOOKUP(G12,G8:I9,2,FALSE),HLOOKUP(H12,G8:I9,2,FALSE))</f>
        <v>17900</v>
      </c>
    </row>
    <row r="14" spans="1:9" x14ac:dyDescent="0.45">
      <c r="A14" s="6" t="s">
        <v>89</v>
      </c>
    </row>
    <row r="15" spans="1:9" x14ac:dyDescent="0.45">
      <c r="A15" s="2" t="s">
        <v>90</v>
      </c>
      <c r="B15" s="2" t="s">
        <v>91</v>
      </c>
      <c r="C15" s="2" t="s">
        <v>92</v>
      </c>
      <c r="D15" s="2" t="s">
        <v>25</v>
      </c>
    </row>
    <row r="16" spans="1:9" x14ac:dyDescent="0.45">
      <c r="A16" s="2" t="s">
        <v>93</v>
      </c>
      <c r="B16" s="2">
        <v>86</v>
      </c>
      <c r="C16" s="2">
        <v>89</v>
      </c>
      <c r="D16" s="2">
        <v>87.5</v>
      </c>
    </row>
    <row r="17" spans="1:4" x14ac:dyDescent="0.45">
      <c r="A17" s="2" t="s">
        <v>94</v>
      </c>
      <c r="B17" s="2">
        <v>95</v>
      </c>
      <c r="C17" s="2">
        <v>93</v>
      </c>
      <c r="D17" s="2">
        <v>94</v>
      </c>
    </row>
    <row r="18" spans="1:4" x14ac:dyDescent="0.45">
      <c r="A18" s="2" t="s">
        <v>95</v>
      </c>
      <c r="B18" s="2">
        <v>93</v>
      </c>
      <c r="C18" s="2">
        <v>97</v>
      </c>
      <c r="D18" s="2">
        <v>95</v>
      </c>
    </row>
    <row r="19" spans="1:4" x14ac:dyDescent="0.45">
      <c r="A19" s="2" t="s">
        <v>96</v>
      </c>
      <c r="B19" s="2">
        <v>79</v>
      </c>
      <c r="C19" s="2">
        <v>78</v>
      </c>
      <c r="D19" s="2">
        <v>78.5</v>
      </c>
    </row>
    <row r="20" spans="1:4" x14ac:dyDescent="0.45">
      <c r="A20" s="12" t="s">
        <v>97</v>
      </c>
      <c r="B20" s="13"/>
      <c r="C20" s="14"/>
      <c r="D20" s="2" t="str">
        <f>INDEX(A16:D19,MATCH(MAX(D16:D19),D16:D19,0),1)</f>
        <v>김영택</v>
      </c>
    </row>
  </sheetData>
  <mergeCells count="2">
    <mergeCell ref="A7:B7"/>
    <mergeCell ref="A20:C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6"/>
  <sheetViews>
    <sheetView workbookViewId="0"/>
  </sheetViews>
  <sheetFormatPr defaultRowHeight="17" x14ac:dyDescent="0.45"/>
  <cols>
    <col min="3" max="4" width="9.33203125" bestFit="1" customWidth="1"/>
    <col min="8" max="8" width="10.75" bestFit="1" customWidth="1"/>
    <col min="9" max="9" width="10.4140625" bestFit="1" customWidth="1"/>
  </cols>
  <sheetData>
    <row r="1" spans="1:9" x14ac:dyDescent="0.45">
      <c r="A1" s="1" t="s">
        <v>0</v>
      </c>
      <c r="B1" s="8" t="s">
        <v>99</v>
      </c>
      <c r="F1" s="6" t="s">
        <v>66</v>
      </c>
      <c r="G1" s="8" t="s">
        <v>100</v>
      </c>
    </row>
    <row r="2" spans="1:9" x14ac:dyDescent="0.45">
      <c r="A2" s="2" t="s">
        <v>101</v>
      </c>
      <c r="B2" s="2" t="s">
        <v>102</v>
      </c>
      <c r="C2" s="2" t="s">
        <v>103</v>
      </c>
      <c r="D2" s="4" t="s">
        <v>104</v>
      </c>
      <c r="F2" s="2" t="s">
        <v>105</v>
      </c>
      <c r="G2" s="2" t="s">
        <v>57</v>
      </c>
      <c r="H2" s="2" t="s">
        <v>106</v>
      </c>
      <c r="I2" s="4" t="s">
        <v>107</v>
      </c>
    </row>
    <row r="3" spans="1:9" x14ac:dyDescent="0.45">
      <c r="A3" s="2" t="s">
        <v>108</v>
      </c>
      <c r="B3" s="2" t="s">
        <v>109</v>
      </c>
      <c r="C3" s="5">
        <v>240000</v>
      </c>
      <c r="D3" s="5">
        <f>C3*(1-HLOOKUP(LEFT(A3,1),$B$12:$D$13,2,FALSE))</f>
        <v>204000</v>
      </c>
      <c r="F3" s="2" t="s">
        <v>110</v>
      </c>
      <c r="G3" s="2" t="s">
        <v>111</v>
      </c>
      <c r="H3" s="3">
        <v>40775</v>
      </c>
      <c r="I3" s="2" t="str">
        <f>VLOOKUP(WEEKDAY(H3,2),$F$11:$G$17,2,FALSE)</f>
        <v>토요일</v>
      </c>
    </row>
    <row r="4" spans="1:9" x14ac:dyDescent="0.45">
      <c r="A4" s="2" t="s">
        <v>113</v>
      </c>
      <c r="B4" s="2" t="s">
        <v>114</v>
      </c>
      <c r="C4" s="5">
        <v>360000</v>
      </c>
      <c r="D4" s="5">
        <f t="shared" ref="D4:D9" si="0">C4*(1-HLOOKUP(LEFT(A4,1),$B$12:$D$13,2,FALSE))</f>
        <v>288000</v>
      </c>
      <c r="F4" s="2" t="s">
        <v>115</v>
      </c>
      <c r="G4" s="2" t="s">
        <v>116</v>
      </c>
      <c r="H4" s="3">
        <v>40370</v>
      </c>
      <c r="I4" s="2" t="str">
        <f t="shared" ref="I4:I7" si="1">VLOOKUP(WEEKDAY(H4,2),$F$11:$G$17,2,FALSE)</f>
        <v>일요일</v>
      </c>
    </row>
    <row r="5" spans="1:9" x14ac:dyDescent="0.45">
      <c r="A5" s="2" t="s">
        <v>118</v>
      </c>
      <c r="B5" s="2" t="s">
        <v>119</v>
      </c>
      <c r="C5" s="5">
        <v>240000</v>
      </c>
      <c r="D5" s="5">
        <f t="shared" si="0"/>
        <v>204000</v>
      </c>
      <c r="F5" s="2" t="s">
        <v>120</v>
      </c>
      <c r="G5" s="2" t="s">
        <v>111</v>
      </c>
      <c r="H5" s="3">
        <v>40217</v>
      </c>
      <c r="I5" s="2" t="str">
        <f t="shared" si="1"/>
        <v>월요일</v>
      </c>
    </row>
    <row r="6" spans="1:9" x14ac:dyDescent="0.45">
      <c r="A6" s="2" t="s">
        <v>122</v>
      </c>
      <c r="B6" s="2" t="s">
        <v>123</v>
      </c>
      <c r="C6" s="5">
        <v>180000</v>
      </c>
      <c r="D6" s="5">
        <f t="shared" si="0"/>
        <v>162000</v>
      </c>
      <c r="F6" s="2" t="s">
        <v>124</v>
      </c>
      <c r="G6" s="2" t="s">
        <v>111</v>
      </c>
      <c r="H6" s="3">
        <v>40862</v>
      </c>
      <c r="I6" s="2" t="str">
        <f t="shared" si="1"/>
        <v>화요일</v>
      </c>
    </row>
    <row r="7" spans="1:9" x14ac:dyDescent="0.45">
      <c r="A7" s="2" t="s">
        <v>126</v>
      </c>
      <c r="B7" s="2" t="s">
        <v>127</v>
      </c>
      <c r="C7" s="5">
        <v>180000</v>
      </c>
      <c r="D7" s="5">
        <f t="shared" si="0"/>
        <v>162000</v>
      </c>
      <c r="F7" s="2" t="s">
        <v>128</v>
      </c>
      <c r="G7" s="2" t="s">
        <v>116</v>
      </c>
      <c r="H7" s="3">
        <v>40809</v>
      </c>
      <c r="I7" s="2" t="str">
        <f t="shared" si="1"/>
        <v>금요일</v>
      </c>
    </row>
    <row r="8" spans="1:9" x14ac:dyDescent="0.45">
      <c r="A8" s="2" t="s">
        <v>130</v>
      </c>
      <c r="B8" s="2" t="s">
        <v>131</v>
      </c>
      <c r="C8" s="5">
        <v>240000</v>
      </c>
      <c r="D8" s="5">
        <f t="shared" si="0"/>
        <v>204000</v>
      </c>
    </row>
    <row r="9" spans="1:9" x14ac:dyDescent="0.45">
      <c r="A9" s="2" t="s">
        <v>132</v>
      </c>
      <c r="B9" s="2" t="s">
        <v>133</v>
      </c>
      <c r="C9" s="5">
        <v>360000</v>
      </c>
      <c r="D9" s="5">
        <f t="shared" si="0"/>
        <v>288000</v>
      </c>
      <c r="F9" s="16" t="s">
        <v>134</v>
      </c>
      <c r="G9" s="16"/>
    </row>
    <row r="10" spans="1:9" x14ac:dyDescent="0.45">
      <c r="F10" s="2" t="s">
        <v>29</v>
      </c>
      <c r="G10" s="2" t="s">
        <v>65</v>
      </c>
    </row>
    <row r="11" spans="1:9" x14ac:dyDescent="0.45">
      <c r="A11" t="s">
        <v>135</v>
      </c>
      <c r="F11" s="2">
        <v>1</v>
      </c>
      <c r="G11" s="2" t="s">
        <v>121</v>
      </c>
    </row>
    <row r="12" spans="1:9" x14ac:dyDescent="0.45">
      <c r="A12" s="2" t="s">
        <v>20</v>
      </c>
      <c r="B12" s="2" t="s">
        <v>136</v>
      </c>
      <c r="C12" s="2" t="s">
        <v>22</v>
      </c>
      <c r="D12" s="2" t="s">
        <v>23</v>
      </c>
      <c r="F12" s="2">
        <v>2</v>
      </c>
      <c r="G12" s="2" t="s">
        <v>125</v>
      </c>
    </row>
    <row r="13" spans="1:9" x14ac:dyDescent="0.45">
      <c r="A13" s="2" t="s">
        <v>98</v>
      </c>
      <c r="B13" s="7">
        <v>0.1</v>
      </c>
      <c r="C13" s="7">
        <v>0.15</v>
      </c>
      <c r="D13" s="7">
        <v>0.2</v>
      </c>
      <c r="F13" s="2">
        <v>3</v>
      </c>
      <c r="G13" s="2" t="s">
        <v>137</v>
      </c>
    </row>
    <row r="14" spans="1:9" x14ac:dyDescent="0.45">
      <c r="F14" s="2">
        <v>4</v>
      </c>
      <c r="G14" s="2" t="s">
        <v>138</v>
      </c>
    </row>
    <row r="15" spans="1:9" x14ac:dyDescent="0.45">
      <c r="A15" s="6" t="s">
        <v>89</v>
      </c>
      <c r="B15" s="8" t="s">
        <v>139</v>
      </c>
      <c r="F15" s="2">
        <v>5</v>
      </c>
      <c r="G15" s="2" t="s">
        <v>129</v>
      </c>
    </row>
    <row r="16" spans="1:9" x14ac:dyDescent="0.45">
      <c r="A16" s="2" t="s">
        <v>140</v>
      </c>
      <c r="B16" s="2" t="s">
        <v>141</v>
      </c>
      <c r="C16" s="2" t="s">
        <v>142</v>
      </c>
      <c r="D16" s="4" t="s">
        <v>143</v>
      </c>
      <c r="F16" s="2">
        <v>6</v>
      </c>
      <c r="G16" s="2" t="s">
        <v>112</v>
      </c>
    </row>
    <row r="17" spans="1:9" x14ac:dyDescent="0.45">
      <c r="A17" s="2" t="s">
        <v>144</v>
      </c>
      <c r="B17" s="2">
        <v>250</v>
      </c>
      <c r="C17" s="5">
        <v>50000</v>
      </c>
      <c r="D17" s="2" t="str">
        <f>CHOOSE(LEFT(A17,1),"연필","볼펜","색연필")</f>
        <v>볼펜</v>
      </c>
      <c r="F17" s="2">
        <v>7</v>
      </c>
      <c r="G17" s="2" t="s">
        <v>117</v>
      </c>
    </row>
    <row r="18" spans="1:9" x14ac:dyDescent="0.45">
      <c r="A18" s="2" t="s">
        <v>145</v>
      </c>
      <c r="B18" s="2">
        <v>200</v>
      </c>
      <c r="C18" s="5">
        <v>45000</v>
      </c>
      <c r="D18" s="2" t="str">
        <f t="shared" ref="D18:D24" si="2">CHOOSE(LEFT(A18,1),"연필","볼펜","색연필")</f>
        <v>색연필</v>
      </c>
    </row>
    <row r="19" spans="1:9" x14ac:dyDescent="0.45">
      <c r="A19" s="2" t="s">
        <v>146</v>
      </c>
      <c r="B19" s="2">
        <v>110</v>
      </c>
      <c r="C19" s="5">
        <v>48000</v>
      </c>
      <c r="D19" s="2" t="str">
        <f t="shared" si="2"/>
        <v>연필</v>
      </c>
      <c r="F19" s="6" t="s">
        <v>147</v>
      </c>
      <c r="G19" s="8" t="s">
        <v>148</v>
      </c>
    </row>
    <row r="20" spans="1:9" x14ac:dyDescent="0.45">
      <c r="A20" s="2" t="s">
        <v>149</v>
      </c>
      <c r="B20" s="2">
        <v>260</v>
      </c>
      <c r="C20" s="5">
        <v>52000</v>
      </c>
      <c r="D20" s="2" t="str">
        <f t="shared" si="2"/>
        <v>볼펜</v>
      </c>
      <c r="F20" s="2" t="s">
        <v>150</v>
      </c>
      <c r="G20" s="2" t="s">
        <v>57</v>
      </c>
      <c r="H20" s="2" t="s">
        <v>56</v>
      </c>
      <c r="I20" s="4" t="s">
        <v>51</v>
      </c>
    </row>
    <row r="21" spans="1:9" x14ac:dyDescent="0.45">
      <c r="A21" s="2" t="s">
        <v>151</v>
      </c>
      <c r="B21" s="2">
        <v>120</v>
      </c>
      <c r="C21" s="5">
        <v>50000</v>
      </c>
      <c r="D21" s="2" t="str">
        <f t="shared" si="2"/>
        <v>연필</v>
      </c>
      <c r="F21" s="2" t="s">
        <v>152</v>
      </c>
      <c r="G21" s="2" t="s">
        <v>111</v>
      </c>
      <c r="H21" s="2">
        <v>78</v>
      </c>
      <c r="I21" s="2" t="str">
        <f>CHOOSE(_xlfn.RANK.EQ(H21,$H$21:$H$28),"1위","2위","3위","","","","","")</f>
        <v/>
      </c>
    </row>
    <row r="22" spans="1:9" x14ac:dyDescent="0.45">
      <c r="A22" s="2" t="s">
        <v>153</v>
      </c>
      <c r="B22" s="2">
        <v>190</v>
      </c>
      <c r="C22" s="5">
        <v>47000</v>
      </c>
      <c r="D22" s="2" t="str">
        <f t="shared" si="2"/>
        <v>색연필</v>
      </c>
      <c r="F22" s="2" t="s">
        <v>154</v>
      </c>
      <c r="G22" s="2" t="s">
        <v>116</v>
      </c>
      <c r="H22" s="2">
        <v>92</v>
      </c>
      <c r="I22" s="2" t="str">
        <f t="shared" ref="I22:I28" si="3">CHOOSE(_xlfn.RANK.EQ(H22,$H$21:$H$28),"1위","2위","3위","","","","","")</f>
        <v>2위</v>
      </c>
    </row>
    <row r="23" spans="1:9" x14ac:dyDescent="0.45">
      <c r="A23" s="2" t="s">
        <v>155</v>
      </c>
      <c r="B23" s="2">
        <v>240</v>
      </c>
      <c r="C23" s="5">
        <v>45000</v>
      </c>
      <c r="D23" s="2" t="str">
        <f t="shared" si="2"/>
        <v>볼펜</v>
      </c>
      <c r="F23" s="2" t="s">
        <v>156</v>
      </c>
      <c r="G23" s="2" t="s">
        <v>116</v>
      </c>
      <c r="H23" s="2">
        <v>67</v>
      </c>
      <c r="I23" s="2" t="str">
        <f t="shared" si="3"/>
        <v/>
      </c>
    </row>
    <row r="24" spans="1:9" x14ac:dyDescent="0.45">
      <c r="A24" s="2" t="s">
        <v>157</v>
      </c>
      <c r="B24" s="2">
        <v>220</v>
      </c>
      <c r="C24" s="5">
        <v>48000</v>
      </c>
      <c r="D24" s="2" t="str">
        <f t="shared" si="2"/>
        <v>색연필</v>
      </c>
      <c r="F24" s="2" t="s">
        <v>158</v>
      </c>
      <c r="G24" s="2" t="s">
        <v>111</v>
      </c>
      <c r="H24" s="2">
        <v>89</v>
      </c>
      <c r="I24" s="2" t="str">
        <f t="shared" si="3"/>
        <v/>
      </c>
    </row>
    <row r="25" spans="1:9" x14ac:dyDescent="0.45">
      <c r="F25" s="2" t="s">
        <v>159</v>
      </c>
      <c r="G25" s="2" t="s">
        <v>111</v>
      </c>
      <c r="H25" s="2">
        <v>95</v>
      </c>
      <c r="I25" s="2" t="str">
        <f t="shared" si="3"/>
        <v>1위</v>
      </c>
    </row>
    <row r="26" spans="1:9" x14ac:dyDescent="0.45">
      <c r="A26" s="6" t="s">
        <v>160</v>
      </c>
      <c r="B26" s="8" t="s">
        <v>172</v>
      </c>
      <c r="F26" s="2" t="s">
        <v>161</v>
      </c>
      <c r="G26" s="2" t="s">
        <v>116</v>
      </c>
      <c r="H26" s="2">
        <v>91</v>
      </c>
      <c r="I26" s="2" t="str">
        <f t="shared" si="3"/>
        <v>3위</v>
      </c>
    </row>
    <row r="27" spans="1:9" x14ac:dyDescent="0.45">
      <c r="A27" s="2" t="s">
        <v>173</v>
      </c>
      <c r="B27" s="2" t="s">
        <v>174</v>
      </c>
      <c r="C27" s="2" t="s">
        <v>175</v>
      </c>
      <c r="D27" s="2" t="s">
        <v>176</v>
      </c>
      <c r="F27" s="2" t="s">
        <v>162</v>
      </c>
      <c r="G27" s="2" t="s">
        <v>111</v>
      </c>
      <c r="H27" s="2">
        <v>84</v>
      </c>
      <c r="I27" s="2" t="str">
        <f t="shared" si="3"/>
        <v/>
      </c>
    </row>
    <row r="28" spans="1:9" x14ac:dyDescent="0.45">
      <c r="A28" s="2" t="s">
        <v>177</v>
      </c>
      <c r="B28" s="2" t="s">
        <v>178</v>
      </c>
      <c r="C28" s="2">
        <v>1</v>
      </c>
      <c r="D28" s="2">
        <v>88.4</v>
      </c>
      <c r="F28" s="2" t="s">
        <v>163</v>
      </c>
      <c r="G28" s="2" t="s">
        <v>116</v>
      </c>
      <c r="H28" s="2">
        <v>77</v>
      </c>
      <c r="I28" s="2" t="str">
        <f t="shared" si="3"/>
        <v/>
      </c>
    </row>
    <row r="29" spans="1:9" x14ac:dyDescent="0.45">
      <c r="A29" s="2" t="s">
        <v>179</v>
      </c>
      <c r="B29" s="2" t="s">
        <v>180</v>
      </c>
      <c r="C29" s="2">
        <v>1</v>
      </c>
      <c r="D29" s="2">
        <v>91.3</v>
      </c>
    </row>
    <row r="30" spans="1:9" x14ac:dyDescent="0.45">
      <c r="A30" s="2" t="s">
        <v>181</v>
      </c>
      <c r="B30" s="2" t="s">
        <v>180</v>
      </c>
      <c r="C30" s="2">
        <v>1</v>
      </c>
      <c r="D30" s="2">
        <v>72.5</v>
      </c>
      <c r="F30" s="6" t="s">
        <v>164</v>
      </c>
      <c r="G30" s="8" t="s">
        <v>165</v>
      </c>
    </row>
    <row r="31" spans="1:9" x14ac:dyDescent="0.45">
      <c r="A31" s="2" t="s">
        <v>182</v>
      </c>
      <c r="B31" s="2" t="s">
        <v>178</v>
      </c>
      <c r="C31" s="2">
        <v>2</v>
      </c>
      <c r="D31" s="2">
        <v>80.7</v>
      </c>
      <c r="F31" s="2" t="s">
        <v>166</v>
      </c>
      <c r="G31" s="2" t="s">
        <v>80</v>
      </c>
    </row>
    <row r="32" spans="1:9" x14ac:dyDescent="0.45">
      <c r="A32" s="2" t="s">
        <v>183</v>
      </c>
      <c r="B32" s="2" t="s">
        <v>178</v>
      </c>
      <c r="C32" s="2">
        <v>2</v>
      </c>
      <c r="D32" s="2">
        <v>67.900000000000006</v>
      </c>
      <c r="F32" s="2" t="s">
        <v>167</v>
      </c>
      <c r="G32" s="2">
        <v>1263.1500000000001</v>
      </c>
    </row>
    <row r="33" spans="1:9" x14ac:dyDescent="0.45">
      <c r="A33" s="2" t="s">
        <v>184</v>
      </c>
      <c r="B33" s="2" t="s">
        <v>180</v>
      </c>
      <c r="C33" s="2">
        <v>2</v>
      </c>
      <c r="D33" s="2">
        <v>92.2</v>
      </c>
      <c r="F33" s="2" t="s">
        <v>168</v>
      </c>
      <c r="G33" s="2">
        <v>1584.36</v>
      </c>
    </row>
    <row r="34" spans="1:9" x14ac:dyDescent="0.45">
      <c r="A34" s="2" t="s">
        <v>185</v>
      </c>
      <c r="B34" s="2" t="s">
        <v>178</v>
      </c>
      <c r="C34" s="2">
        <v>3</v>
      </c>
      <c r="D34" s="2">
        <v>94.8</v>
      </c>
      <c r="F34" s="2" t="s">
        <v>169</v>
      </c>
      <c r="G34" s="2">
        <v>985.53</v>
      </c>
    </row>
    <row r="35" spans="1:9" x14ac:dyDescent="0.45">
      <c r="A35" s="2" t="s">
        <v>186</v>
      </c>
      <c r="B35" s="2" t="s">
        <v>180</v>
      </c>
      <c r="C35" s="2">
        <v>3</v>
      </c>
      <c r="D35" s="2">
        <v>86.6</v>
      </c>
      <c r="F35" s="2" t="s">
        <v>170</v>
      </c>
      <c r="G35" s="2">
        <v>160.97999999999999</v>
      </c>
      <c r="I35" s="4" t="s">
        <v>80</v>
      </c>
    </row>
    <row r="36" spans="1:9" x14ac:dyDescent="0.45">
      <c r="A36" s="12" t="s">
        <v>187</v>
      </c>
      <c r="B36" s="13"/>
      <c r="C36" s="14"/>
      <c r="D36" s="2" t="str">
        <f>INDEX(A28:D35,MATCH(DMAX(A27:D35,4,B27:B28),D28:D35,0),1)</f>
        <v>강현준</v>
      </c>
      <c r="F36" s="2" t="s">
        <v>171</v>
      </c>
      <c r="G36" s="2">
        <v>995.49</v>
      </c>
      <c r="H36" s="4" t="s">
        <v>168</v>
      </c>
      <c r="I36" s="2">
        <f>TRUNC(INDEX(F32:G36,MATCH(H36,F32:F36,0),2))</f>
        <v>1584</v>
      </c>
    </row>
  </sheetData>
  <mergeCells count="2">
    <mergeCell ref="F9:G9"/>
    <mergeCell ref="A36:C3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02_유형1~3</vt:lpstr>
      <vt:lpstr>03_유형1~4</vt:lpstr>
      <vt:lpstr>04_유형1~3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2024-10-29T08:22:17Z</dcterms:modified>
</cp:coreProperties>
</file>