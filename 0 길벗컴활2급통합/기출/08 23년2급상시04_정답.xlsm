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기출\"/>
    </mc:Choice>
  </mc:AlternateContent>
  <xr:revisionPtr revIDLastSave="0" documentId="13_ncr:1_{C42EFC9F-00FE-402E-BCDE-41C0BFB913AC}" xr6:coauthVersionLast="47" xr6:coauthVersionMax="47" xr10:uidLastSave="{00000000-0000-0000-0000-000000000000}"/>
  <bookViews>
    <workbookView xWindow="-120" yWindow="-120" windowWidth="29040" windowHeight="1599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8" r:id="rId5"/>
    <sheet name="분석작업-2" sheetId="6" r:id="rId6"/>
    <sheet name="매크로작업" sheetId="7" r:id="rId7"/>
    <sheet name="차트작업" sheetId="5" r:id="rId8"/>
  </sheets>
  <definedNames>
    <definedName name="_xlnm._FilterDatabase" localSheetId="2" hidden="1">'기본작업-3'!$A$3:$F$15</definedName>
    <definedName name="_xlnm.Criteria" localSheetId="2">'기본작업-3'!$A$18:$B$19</definedName>
    <definedName name="_xlnm.Extract" localSheetId="2">'기본작업-3'!$A$22:$F$22</definedName>
    <definedName name="지역">'기본작업-2'!$B$4:$B$15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7" l="1"/>
  <c r="E6" i="7"/>
  <c r="E7" i="7"/>
  <c r="E8" i="7"/>
  <c r="E9" i="7"/>
  <c r="E10" i="7"/>
  <c r="E11" i="7"/>
  <c r="E4" i="7"/>
  <c r="F20" i="8" l="1"/>
  <c r="F14" i="8"/>
  <c r="F9" i="8"/>
  <c r="F22" i="8" s="1"/>
  <c r="H4" i="4" l="1"/>
  <c r="H5" i="4"/>
  <c r="H6" i="4"/>
  <c r="H7" i="4"/>
  <c r="H8" i="4"/>
  <c r="H9" i="4"/>
  <c r="H10" i="4"/>
  <c r="H11" i="4"/>
  <c r="G27" i="4"/>
  <c r="G28" i="4"/>
  <c r="G29" i="4"/>
  <c r="G30" i="4"/>
  <c r="G31" i="4"/>
  <c r="G32" i="4"/>
  <c r="G33" i="4"/>
  <c r="G34" i="4"/>
  <c r="G26" i="4"/>
  <c r="I16" i="4"/>
  <c r="I17" i="4"/>
  <c r="I18" i="4"/>
  <c r="I19" i="4"/>
  <c r="I20" i="4"/>
  <c r="I21" i="4"/>
  <c r="I22" i="4"/>
  <c r="I15" i="4"/>
  <c r="E16" i="4"/>
  <c r="E17" i="4"/>
  <c r="E18" i="4"/>
  <c r="E19" i="4"/>
  <c r="E20" i="4"/>
  <c r="E21" i="4"/>
  <c r="E22" i="4"/>
  <c r="E15" i="4"/>
  <c r="H3" i="4"/>
  <c r="D11" i="4"/>
  <c r="G15" i="8" l="1"/>
  <c r="G10" i="8"/>
  <c r="G16" i="8"/>
  <c r="H16" i="8" s="1"/>
  <c r="G5" i="8"/>
  <c r="H5" i="8" s="1"/>
  <c r="G11" i="8"/>
  <c r="H11" i="8" s="1"/>
  <c r="G12" i="8"/>
  <c r="H12" i="8" s="1"/>
  <c r="G6" i="8"/>
  <c r="H6" i="8" s="1"/>
  <c r="G17" i="8"/>
  <c r="H17" i="8" s="1"/>
  <c r="G18" i="8"/>
  <c r="H18" i="8" s="1"/>
  <c r="G7" i="8"/>
  <c r="H7" i="8" s="1"/>
  <c r="G4" i="8"/>
  <c r="H15" i="8" l="1"/>
  <c r="H19" i="8" s="1"/>
  <c r="G19" i="8"/>
  <c r="H4" i="8"/>
  <c r="G8" i="8"/>
  <c r="G21" i="8" s="1"/>
  <c r="H10" i="8"/>
  <c r="H13" i="8" s="1"/>
  <c r="G13" i="8"/>
  <c r="G5" i="6"/>
  <c r="G6" i="6"/>
  <c r="G7" i="6"/>
  <c r="G8" i="6"/>
  <c r="G9" i="6"/>
  <c r="G10" i="6"/>
  <c r="G11" i="6"/>
  <c r="G12" i="6"/>
  <c r="G4" i="6"/>
  <c r="H8" i="8" l="1"/>
  <c r="H21" i="8" s="1"/>
</calcChain>
</file>

<file path=xl/sharedStrings.xml><?xml version="1.0" encoding="utf-8"?>
<sst xmlns="http://schemas.openxmlformats.org/spreadsheetml/2006/main" count="283" uniqueCount="220">
  <si>
    <t>제품명</t>
  </si>
  <si>
    <t>모델명</t>
  </si>
  <si>
    <t>담당자</t>
  </si>
  <si>
    <t>입고단가</t>
  </si>
  <si>
    <t>입고량</t>
  </si>
  <si>
    <t>공기청정살균기</t>
  </si>
  <si>
    <t>S5MBC</t>
  </si>
  <si>
    <t>이석훈</t>
  </si>
  <si>
    <t>드럼세탁기</t>
  </si>
  <si>
    <t>TR42WL</t>
  </si>
  <si>
    <t>김청아</t>
  </si>
  <si>
    <t>스마트TV(163)</t>
  </si>
  <si>
    <t>A324S</t>
  </si>
  <si>
    <t>이찬승</t>
  </si>
  <si>
    <t>미니무선청소기</t>
  </si>
  <si>
    <t>WF69T</t>
  </si>
  <si>
    <t>오선지</t>
  </si>
  <si>
    <t>4도어냉장고</t>
  </si>
  <si>
    <t>KE65R</t>
  </si>
  <si>
    <t>박성웅</t>
  </si>
  <si>
    <t>스타일러</t>
  </si>
  <si>
    <t>B67AF</t>
  </si>
  <si>
    <t>김현숙</t>
  </si>
  <si>
    <t>가전제품 입고 현황</t>
    <phoneticPr fontId="1" type="noConversion"/>
  </si>
  <si>
    <t>[표1]</t>
  </si>
  <si>
    <t>승진 시험 결과</t>
  </si>
  <si>
    <t>사원명</t>
  </si>
  <si>
    <t>외국어</t>
  </si>
  <si>
    <t>이론</t>
  </si>
  <si>
    <t>총점</t>
  </si>
  <si>
    <t>권영일</t>
  </si>
  <si>
    <t>이규창</t>
  </si>
  <si>
    <t>김정아</t>
  </si>
  <si>
    <t>이진희</t>
  </si>
  <si>
    <t>한세영</t>
  </si>
  <si>
    <t>장석영</t>
  </si>
  <si>
    <t>윤소정</t>
  </si>
  <si>
    <t>신선부</t>
  </si>
  <si>
    <t>비율</t>
  </si>
  <si>
    <t>[표2]</t>
  </si>
  <si>
    <t>종목별 시험 일정표</t>
  </si>
  <si>
    <t>종목</t>
  </si>
  <si>
    <t>시험일자</t>
  </si>
  <si>
    <t>구분</t>
  </si>
  <si>
    <t>정보처리</t>
  </si>
  <si>
    <t>사무자동화</t>
  </si>
  <si>
    <t>에너지관리</t>
  </si>
  <si>
    <t>전기</t>
  </si>
  <si>
    <t>자동차정비</t>
  </si>
  <si>
    <t>건설기계</t>
  </si>
  <si>
    <t>토목</t>
  </si>
  <si>
    <t>정보관리</t>
  </si>
  <si>
    <t>한식조리</t>
  </si>
  <si>
    <t>[표3]</t>
  </si>
  <si>
    <t>사원 관리 현황</t>
  </si>
  <si>
    <t>[표4]</t>
  </si>
  <si>
    <t>사원별 실적 현황</t>
  </si>
  <si>
    <t>입사년도</t>
  </si>
  <si>
    <t>임시코드</t>
  </si>
  <si>
    <t>지점</t>
  </si>
  <si>
    <t>사원코드</t>
  </si>
  <si>
    <t>판매량</t>
  </si>
  <si>
    <t>평가</t>
  </si>
  <si>
    <t>홍명찬</t>
  </si>
  <si>
    <t>pro535k</t>
  </si>
  <si>
    <t>서울</t>
  </si>
  <si>
    <t>SG-1245</t>
  </si>
  <si>
    <t>서혜진</t>
  </si>
  <si>
    <t>pla321d</t>
  </si>
  <si>
    <t>부산</t>
  </si>
  <si>
    <t>SG-6782</t>
  </si>
  <si>
    <t>양세완</t>
  </si>
  <si>
    <t>bck220a</t>
  </si>
  <si>
    <t>SG-2401</t>
  </si>
  <si>
    <t>유도원</t>
  </si>
  <si>
    <t>iuf035e</t>
  </si>
  <si>
    <t>제주</t>
  </si>
  <si>
    <t>SG-3844</t>
  </si>
  <si>
    <t>최윤희</t>
  </si>
  <si>
    <t>fvh693p</t>
  </si>
  <si>
    <t>SG-1059</t>
  </si>
  <si>
    <t>허현주</t>
  </si>
  <si>
    <t>ncr722u</t>
  </si>
  <si>
    <t>SG-2574</t>
  </si>
  <si>
    <t>한세호</t>
  </si>
  <si>
    <t>blc269y</t>
  </si>
  <si>
    <t>SG-3322</t>
  </si>
  <si>
    <t>노재연</t>
  </si>
  <si>
    <t>nto484l</t>
  </si>
  <si>
    <t>SG-6091</t>
  </si>
  <si>
    <t>[표5]</t>
  </si>
  <si>
    <t>심사 결과표</t>
  </si>
  <si>
    <t>참가번호</t>
  </si>
  <si>
    <t>1차</t>
  </si>
  <si>
    <t>2차</t>
  </si>
  <si>
    <t>3차</t>
  </si>
  <si>
    <t>4차</t>
  </si>
  <si>
    <t>5차</t>
  </si>
  <si>
    <t>평균</t>
  </si>
  <si>
    <t>A12301</t>
  </si>
  <si>
    <t>A12302</t>
  </si>
  <si>
    <t>A12303</t>
  </si>
  <si>
    <t>A12304</t>
  </si>
  <si>
    <t>A12305</t>
  </si>
  <si>
    <t>A12306</t>
  </si>
  <si>
    <t>A12307</t>
  </si>
  <si>
    <t>A12308</t>
  </si>
  <si>
    <t>A12309</t>
  </si>
  <si>
    <t>지역별 봄꽃 개화시기</t>
  </si>
  <si>
    <t>꽃</t>
  </si>
  <si>
    <t>지역</t>
  </si>
  <si>
    <t>2022년</t>
  </si>
  <si>
    <t>2023년</t>
  </si>
  <si>
    <t>평년차</t>
  </si>
  <si>
    <t>개나리</t>
  </si>
  <si>
    <t>강릉</t>
  </si>
  <si>
    <t>여수</t>
  </si>
  <si>
    <t>진달래</t>
  </si>
  <si>
    <t>벚꽃</t>
  </si>
  <si>
    <t>항공기 운영 현황</t>
    <phoneticPr fontId="1" type="noConversion"/>
  </si>
  <si>
    <t>국가</t>
  </si>
  <si>
    <t>방문자수</t>
  </si>
  <si>
    <t>운영비</t>
  </si>
  <si>
    <t>수익</t>
  </si>
  <si>
    <t>세금</t>
  </si>
  <si>
    <t>운행여부</t>
  </si>
  <si>
    <t>미국</t>
  </si>
  <si>
    <t>캐나다</t>
  </si>
  <si>
    <t>영국</t>
  </si>
  <si>
    <t>일시폐쇄</t>
  </si>
  <si>
    <t>프랑스</t>
  </si>
  <si>
    <t>그리스</t>
  </si>
  <si>
    <t>이탈리아</t>
  </si>
  <si>
    <t>독일</t>
  </si>
  <si>
    <t>일본</t>
  </si>
  <si>
    <t>중국</t>
  </si>
  <si>
    <t>필리핀</t>
  </si>
  <si>
    <t>뉴질랜드</t>
  </si>
  <si>
    <t>호주</t>
  </si>
  <si>
    <t>상공스포츠센터 강습인원 현황</t>
    <phoneticPr fontId="1" type="noConversion"/>
  </si>
  <si>
    <t>프로그램</t>
  </si>
  <si>
    <t>4월</t>
  </si>
  <si>
    <t>5월</t>
  </si>
  <si>
    <t>6월</t>
  </si>
  <si>
    <t>수영</t>
  </si>
  <si>
    <t>골프</t>
  </si>
  <si>
    <t>테니스</t>
  </si>
  <si>
    <t>볼링</t>
  </si>
  <si>
    <t>배드민턴</t>
  </si>
  <si>
    <t>탁구</t>
  </si>
  <si>
    <t>와인 판매 현황</t>
    <phoneticPr fontId="1" type="noConversion"/>
  </si>
  <si>
    <t>품명</t>
  </si>
  <si>
    <t>생산지</t>
  </si>
  <si>
    <t>수입총액</t>
  </si>
  <si>
    <t>판매가</t>
  </si>
  <si>
    <t>판매총액</t>
  </si>
  <si>
    <t>이익</t>
  </si>
  <si>
    <t>화이트</t>
  </si>
  <si>
    <t>고스트파인</t>
  </si>
  <si>
    <t>레드</t>
  </si>
  <si>
    <t>토마이시</t>
  </si>
  <si>
    <t>로제</t>
  </si>
  <si>
    <t>피오네수르</t>
  </si>
  <si>
    <t>칠레</t>
  </si>
  <si>
    <t>원퍼스모건</t>
  </si>
  <si>
    <t>하비스알파</t>
  </si>
  <si>
    <t>멜롯산타</t>
  </si>
  <si>
    <t>로파니토</t>
  </si>
  <si>
    <t>다스티스</t>
  </si>
  <si>
    <t>카멜로누아</t>
  </si>
  <si>
    <t>사이시아</t>
  </si>
  <si>
    <t>소비뇽블랑</t>
  </si>
  <si>
    <t>승진 시험 결과</t>
    <phoneticPr fontId="1" type="noConversion"/>
  </si>
  <si>
    <t>이름</t>
  </si>
  <si>
    <t>부서명</t>
  </si>
  <si>
    <t>업무수행</t>
  </si>
  <si>
    <t>영어</t>
  </si>
  <si>
    <t>전산이론</t>
  </si>
  <si>
    <t>전산실기</t>
  </si>
  <si>
    <t>최정욱</t>
  </si>
  <si>
    <t>기술부</t>
  </si>
  <si>
    <t>전선희</t>
  </si>
  <si>
    <t>자재부</t>
  </si>
  <si>
    <t>신성현</t>
  </si>
  <si>
    <t>판매부</t>
  </si>
  <si>
    <t>김민호</t>
  </si>
  <si>
    <t>이민정</t>
  </si>
  <si>
    <t>박진주</t>
  </si>
  <si>
    <t>이현민</t>
  </si>
  <si>
    <t>황진주</t>
  </si>
  <si>
    <t>김민서</t>
  </si>
  <si>
    <t>상공김치 판매 현황</t>
    <phoneticPr fontId="1" type="noConversion"/>
  </si>
  <si>
    <t>상품명</t>
  </si>
  <si>
    <t>단위</t>
  </si>
  <si>
    <t>판매가격</t>
  </si>
  <si>
    <t>판매수량</t>
  </si>
  <si>
    <t>포기김치</t>
  </si>
  <si>
    <t>5kg</t>
  </si>
  <si>
    <t>깍두기</t>
  </si>
  <si>
    <t>3kg</t>
  </si>
  <si>
    <t>갓김치</t>
  </si>
  <si>
    <t>나박김치</t>
  </si>
  <si>
    <t>3.6kg</t>
  </si>
  <si>
    <t>총각김치</t>
  </si>
  <si>
    <t>열무김치</t>
  </si>
  <si>
    <t>2.5kg</t>
  </si>
  <si>
    <t>백김치</t>
  </si>
  <si>
    <t>물김치</t>
  </si>
  <si>
    <t>운행여부</t>
    <phoneticPr fontId="1" type="noConversion"/>
  </si>
  <si>
    <t>&lt;&gt;일시폐쇄</t>
    <phoneticPr fontId="1" type="noConversion"/>
  </si>
  <si>
    <t>방문자수</t>
    <phoneticPr fontId="1" type="noConversion"/>
  </si>
  <si>
    <t>&gt;=100000</t>
    <phoneticPr fontId="1" type="noConversion"/>
  </si>
  <si>
    <t>화이트 요약</t>
  </si>
  <si>
    <t>로제 요약</t>
  </si>
  <si>
    <t>레드 요약</t>
  </si>
  <si>
    <t>총합계</t>
  </si>
  <si>
    <t>화이트 평균</t>
  </si>
  <si>
    <t>로제 평균</t>
  </si>
  <si>
    <t>레드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</si>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</sst>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7" formatCode="0.0"/>
    <numFmt numFmtId="180" formatCode="&quot;*&quot;0&quot;일&quot;"/>
    <numFmt numFmtId="181" formatCode="&quot;₩&quot;#,##0_);[Red]\(&quot;₩&quot;#,##0\)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80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81" fontId="0" fillId="0" borderId="1" xfId="0" applyNumberForma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주요 프로그램 강습인원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4월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(차트작업!$A$4:$A$6,차트작업!$A$8:$A$9)</c:f>
              <c:strCache>
                <c:ptCount val="5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배드민턴</c:v>
                </c:pt>
                <c:pt idx="4">
                  <c:v>탁구</c:v>
                </c:pt>
              </c:strCache>
            </c:strRef>
          </c:cat>
          <c:val>
            <c:numRef>
              <c:f>(차트작업!$B$4:$B$6,차트작업!$B$8:$B$9)</c:f>
              <c:numCache>
                <c:formatCode>General</c:formatCode>
                <c:ptCount val="5"/>
                <c:pt idx="0">
                  <c:v>83</c:v>
                </c:pt>
                <c:pt idx="1">
                  <c:v>40</c:v>
                </c:pt>
                <c:pt idx="2">
                  <c:v>37</c:v>
                </c:pt>
                <c:pt idx="3">
                  <c:v>72</c:v>
                </c:pt>
                <c:pt idx="4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3-4D8A-AAAB-5D8CF98B5668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5월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(차트작업!$A$4:$A$6,차트작업!$A$8:$A$9)</c:f>
              <c:strCache>
                <c:ptCount val="5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배드민턴</c:v>
                </c:pt>
                <c:pt idx="4">
                  <c:v>탁구</c:v>
                </c:pt>
              </c:strCache>
            </c:strRef>
          </c:cat>
          <c:val>
            <c:numRef>
              <c:f>(차트작업!$C$4:$C$6,차트작업!$C$8:$C$9)</c:f>
              <c:numCache>
                <c:formatCode>General</c:formatCode>
                <c:ptCount val="5"/>
                <c:pt idx="0">
                  <c:v>73</c:v>
                </c:pt>
                <c:pt idx="1">
                  <c:v>45</c:v>
                </c:pt>
                <c:pt idx="2">
                  <c:v>33</c:v>
                </c:pt>
                <c:pt idx="3">
                  <c:v>70</c:v>
                </c:pt>
                <c:pt idx="4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3B-4B53-948D-E1B4A1734A35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6월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(차트작업!$A$4:$A$6,차트작업!$A$8:$A$9)</c:f>
              <c:strCache>
                <c:ptCount val="5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배드민턴</c:v>
                </c:pt>
                <c:pt idx="4">
                  <c:v>탁구</c:v>
                </c:pt>
              </c:strCache>
            </c:strRef>
          </c:cat>
          <c:val>
            <c:numRef>
              <c:f>(차트작업!$D$4:$D$6,차트작업!$D$8:$D$9)</c:f>
              <c:numCache>
                <c:formatCode>General</c:formatCode>
                <c:ptCount val="5"/>
                <c:pt idx="0">
                  <c:v>84</c:v>
                </c:pt>
                <c:pt idx="1">
                  <c:v>44</c:v>
                </c:pt>
                <c:pt idx="2">
                  <c:v>38</c:v>
                </c:pt>
                <c:pt idx="3">
                  <c:v>65</c:v>
                </c:pt>
                <c:pt idx="4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3B-4B53-948D-E1B4A1734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686464"/>
        <c:axId val="905689344"/>
      </c:barChart>
      <c:catAx>
        <c:axId val="90568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5689344"/>
        <c:crosses val="autoZero"/>
        <c:auto val="1"/>
        <c:lblAlgn val="ctr"/>
        <c:lblOffset val="100"/>
        <c:noMultiLvlLbl val="0"/>
      </c:catAx>
      <c:valAx>
        <c:axId val="90568934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0568646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7</xdr:col>
      <xdr:colOff>0</xdr:colOff>
      <xdr:row>4</xdr:row>
      <xdr:rowOff>0</xdr:rowOff>
    </xdr:to>
    <xdr:sp macro="[0]!판매총액" textlink="">
      <xdr:nvSpPr>
        <xdr:cNvPr id="2" name="사각형: 빗면 1">
          <a:extLst>
            <a:ext uri="{FF2B5EF4-FFF2-40B4-BE49-F238E27FC236}">
              <a16:creationId xmlns:a16="http://schemas.microsoft.com/office/drawing/2014/main" id="{D75BCAEA-B476-F098-8C2B-52C0413BDD08}"/>
            </a:ext>
          </a:extLst>
        </xdr:cNvPr>
        <xdr:cNvSpPr/>
      </xdr:nvSpPr>
      <xdr:spPr>
        <a:xfrm>
          <a:off x="4381500" y="466725"/>
          <a:ext cx="6858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판매총액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통화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4766F45-64D0-679C-783A-F52E5C987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E9"/>
  <sheetViews>
    <sheetView tabSelected="1" workbookViewId="0"/>
  </sheetViews>
  <sheetFormatPr defaultRowHeight="16.5" x14ac:dyDescent="0.3"/>
  <cols>
    <col min="1" max="1" width="15.125" bestFit="1" customWidth="1"/>
    <col min="4" max="4" width="10.875" bestFit="1" customWidth="1"/>
  </cols>
  <sheetData>
    <row r="1" spans="1:5" x14ac:dyDescent="0.3">
      <c r="A1" t="s">
        <v>23</v>
      </c>
    </row>
    <row r="3" spans="1: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</row>
    <row r="4" spans="1:5" x14ac:dyDescent="0.3">
      <c r="A4" s="1" t="s">
        <v>5</v>
      </c>
      <c r="B4" s="1" t="s">
        <v>6</v>
      </c>
      <c r="C4" s="1" t="s">
        <v>7</v>
      </c>
      <c r="D4" s="2">
        <v>460000</v>
      </c>
      <c r="E4" s="1">
        <v>30</v>
      </c>
    </row>
    <row r="5" spans="1:5" x14ac:dyDescent="0.3">
      <c r="A5" s="1" t="s">
        <v>8</v>
      </c>
      <c r="B5" s="1" t="s">
        <v>9</v>
      </c>
      <c r="C5" s="1" t="s">
        <v>10</v>
      </c>
      <c r="D5" s="2">
        <v>580000</v>
      </c>
      <c r="E5" s="1">
        <v>80</v>
      </c>
    </row>
    <row r="6" spans="1:5" x14ac:dyDescent="0.3">
      <c r="A6" s="1" t="s">
        <v>11</v>
      </c>
      <c r="B6" s="1" t="s">
        <v>12</v>
      </c>
      <c r="C6" s="1" t="s">
        <v>13</v>
      </c>
      <c r="D6" s="2">
        <v>973000</v>
      </c>
      <c r="E6" s="1">
        <v>120</v>
      </c>
    </row>
    <row r="7" spans="1:5" x14ac:dyDescent="0.3">
      <c r="A7" s="1" t="s">
        <v>14</v>
      </c>
      <c r="B7" s="1" t="s">
        <v>15</v>
      </c>
      <c r="C7" s="1" t="s">
        <v>16</v>
      </c>
      <c r="D7" s="2">
        <v>300000</v>
      </c>
      <c r="E7" s="1">
        <v>50</v>
      </c>
    </row>
    <row r="8" spans="1:5" x14ac:dyDescent="0.3">
      <c r="A8" s="1" t="s">
        <v>17</v>
      </c>
      <c r="B8" s="1" t="s">
        <v>18</v>
      </c>
      <c r="C8" s="1" t="s">
        <v>19</v>
      </c>
      <c r="D8" s="2">
        <v>1085000</v>
      </c>
      <c r="E8" s="1">
        <v>100</v>
      </c>
    </row>
    <row r="9" spans="1:5" x14ac:dyDescent="0.3">
      <c r="A9" s="1" t="s">
        <v>20</v>
      </c>
      <c r="B9" s="1" t="s">
        <v>21</v>
      </c>
      <c r="C9" s="1" t="s">
        <v>22</v>
      </c>
      <c r="D9" s="2">
        <v>1260000</v>
      </c>
      <c r="E9" s="1">
        <v>60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E15"/>
  <sheetViews>
    <sheetView workbookViewId="0"/>
  </sheetViews>
  <sheetFormatPr defaultRowHeight="16.5" x14ac:dyDescent="0.3"/>
  <cols>
    <col min="3" max="4" width="11.125" bestFit="1" customWidth="1"/>
  </cols>
  <sheetData>
    <row r="1" spans="1:5" ht="26.25" x14ac:dyDescent="0.3">
      <c r="A1" s="16" t="s">
        <v>108</v>
      </c>
      <c r="B1" s="16"/>
      <c r="C1" s="16"/>
      <c r="D1" s="16"/>
      <c r="E1" s="16"/>
    </row>
    <row r="2" spans="1:5" ht="17.25" thickBot="1" x14ac:dyDescent="0.35"/>
    <row r="3" spans="1:5" x14ac:dyDescent="0.3">
      <c r="A3" s="17" t="s">
        <v>109</v>
      </c>
      <c r="B3" s="18" t="s">
        <v>110</v>
      </c>
      <c r="C3" s="18" t="s">
        <v>111</v>
      </c>
      <c r="D3" s="18" t="s">
        <v>112</v>
      </c>
      <c r="E3" s="19" t="s">
        <v>113</v>
      </c>
    </row>
    <row r="4" spans="1:5" x14ac:dyDescent="0.3">
      <c r="A4" s="20" t="s">
        <v>114</v>
      </c>
      <c r="B4" s="5" t="s">
        <v>115</v>
      </c>
      <c r="C4" s="7">
        <v>45006</v>
      </c>
      <c r="D4" s="7">
        <v>45010</v>
      </c>
      <c r="E4" s="21">
        <v>4</v>
      </c>
    </row>
    <row r="5" spans="1:5" x14ac:dyDescent="0.3">
      <c r="A5" s="20"/>
      <c r="B5" s="5" t="s">
        <v>65</v>
      </c>
      <c r="C5" s="7">
        <v>45010</v>
      </c>
      <c r="D5" s="7">
        <v>45013</v>
      </c>
      <c r="E5" s="21">
        <v>3</v>
      </c>
    </row>
    <row r="6" spans="1:5" x14ac:dyDescent="0.3">
      <c r="A6" s="20"/>
      <c r="B6" s="5" t="s">
        <v>116</v>
      </c>
      <c r="C6" s="7">
        <v>45005</v>
      </c>
      <c r="D6" s="7">
        <v>45008</v>
      </c>
      <c r="E6" s="21">
        <v>3</v>
      </c>
    </row>
    <row r="7" spans="1:5" x14ac:dyDescent="0.3">
      <c r="A7" s="20"/>
      <c r="B7" s="5" t="s">
        <v>69</v>
      </c>
      <c r="C7" s="7">
        <v>45001</v>
      </c>
      <c r="D7" s="7">
        <v>45002</v>
      </c>
      <c r="E7" s="21">
        <v>1</v>
      </c>
    </row>
    <row r="8" spans="1:5" x14ac:dyDescent="0.3">
      <c r="A8" s="20" t="s">
        <v>117</v>
      </c>
      <c r="B8" s="5" t="s">
        <v>115</v>
      </c>
      <c r="C8" s="7">
        <v>45008</v>
      </c>
      <c r="D8" s="7">
        <v>45013</v>
      </c>
      <c r="E8" s="21">
        <v>5</v>
      </c>
    </row>
    <row r="9" spans="1:5" x14ac:dyDescent="0.3">
      <c r="A9" s="20"/>
      <c r="B9" s="5" t="s">
        <v>65</v>
      </c>
      <c r="C9" s="7">
        <v>45008</v>
      </c>
      <c r="D9" s="7">
        <v>45014</v>
      </c>
      <c r="E9" s="21">
        <v>6</v>
      </c>
    </row>
    <row r="10" spans="1:5" x14ac:dyDescent="0.3">
      <c r="A10" s="20"/>
      <c r="B10" s="5" t="s">
        <v>116</v>
      </c>
      <c r="C10" s="7">
        <v>45001</v>
      </c>
      <c r="D10" s="7">
        <v>45005</v>
      </c>
      <c r="E10" s="21">
        <v>4</v>
      </c>
    </row>
    <row r="11" spans="1:5" x14ac:dyDescent="0.3">
      <c r="A11" s="20"/>
      <c r="B11" s="5" t="s">
        <v>69</v>
      </c>
      <c r="C11" s="7">
        <v>45003</v>
      </c>
      <c r="D11" s="7">
        <v>45004</v>
      </c>
      <c r="E11" s="21">
        <v>1</v>
      </c>
    </row>
    <row r="12" spans="1:5" x14ac:dyDescent="0.3">
      <c r="A12" s="20" t="s">
        <v>118</v>
      </c>
      <c r="B12" s="5" t="s">
        <v>115</v>
      </c>
      <c r="C12" s="7">
        <v>45016</v>
      </c>
      <c r="D12" s="7">
        <v>45020</v>
      </c>
      <c r="E12" s="21">
        <v>4</v>
      </c>
    </row>
    <row r="13" spans="1:5" x14ac:dyDescent="0.3">
      <c r="A13" s="20"/>
      <c r="B13" s="5" t="s">
        <v>65</v>
      </c>
      <c r="C13" s="7">
        <v>45019</v>
      </c>
      <c r="D13" s="7">
        <v>45024</v>
      </c>
      <c r="E13" s="21">
        <v>5</v>
      </c>
    </row>
    <row r="14" spans="1:5" x14ac:dyDescent="0.3">
      <c r="A14" s="20"/>
      <c r="B14" s="5" t="s">
        <v>116</v>
      </c>
      <c r="C14" s="7">
        <v>45014</v>
      </c>
      <c r="D14" s="7">
        <v>45016</v>
      </c>
      <c r="E14" s="21">
        <v>2</v>
      </c>
    </row>
    <row r="15" spans="1:5" ht="17.25" thickBot="1" x14ac:dyDescent="0.35">
      <c r="A15" s="22"/>
      <c r="B15" s="23" t="s">
        <v>69</v>
      </c>
      <c r="C15" s="24">
        <v>45007</v>
      </c>
      <c r="D15" s="24">
        <v>45009</v>
      </c>
      <c r="E15" s="25">
        <v>2</v>
      </c>
    </row>
  </sheetData>
  <mergeCells count="3">
    <mergeCell ref="A12:A15"/>
    <mergeCell ref="A8:A11"/>
    <mergeCell ref="A4:A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F26"/>
  <sheetViews>
    <sheetView workbookViewId="0">
      <selection sqref="A1:F1"/>
    </sheetView>
  </sheetViews>
  <sheetFormatPr defaultRowHeight="16.5" x14ac:dyDescent="0.3"/>
  <cols>
    <col min="1" max="1" width="11.875" bestFit="1" customWidth="1"/>
    <col min="2" max="2" width="10.625" customWidth="1"/>
    <col min="3" max="5" width="11.875" bestFit="1" customWidth="1"/>
  </cols>
  <sheetData>
    <row r="1" spans="1:6" ht="20.25" x14ac:dyDescent="0.3">
      <c r="A1" s="12" t="s">
        <v>119</v>
      </c>
      <c r="B1" s="12"/>
      <c r="C1" s="12"/>
      <c r="D1" s="12"/>
      <c r="E1" s="12"/>
      <c r="F1" s="12"/>
    </row>
    <row r="3" spans="1:6" x14ac:dyDescent="0.3">
      <c r="A3" s="5" t="s">
        <v>120</v>
      </c>
      <c r="B3" s="5" t="s">
        <v>121</v>
      </c>
      <c r="C3" s="5" t="s">
        <v>122</v>
      </c>
      <c r="D3" s="5" t="s">
        <v>123</v>
      </c>
      <c r="E3" s="5" t="s">
        <v>124</v>
      </c>
      <c r="F3" s="5" t="s">
        <v>125</v>
      </c>
    </row>
    <row r="4" spans="1:6" x14ac:dyDescent="0.3">
      <c r="A4" s="5" t="s">
        <v>126</v>
      </c>
      <c r="B4" s="10">
        <v>135211</v>
      </c>
      <c r="C4" s="10">
        <v>18240000</v>
      </c>
      <c r="D4" s="10">
        <v>77070000</v>
      </c>
      <c r="E4" s="10">
        <v>12330000</v>
      </c>
      <c r="F4" s="5"/>
    </row>
    <row r="5" spans="1:6" x14ac:dyDescent="0.3">
      <c r="A5" s="5" t="s">
        <v>127</v>
      </c>
      <c r="B5" s="10">
        <v>96854</v>
      </c>
      <c r="C5" s="10">
        <v>9240000</v>
      </c>
      <c r="D5" s="10">
        <v>55210000</v>
      </c>
      <c r="E5" s="10">
        <v>8830000</v>
      </c>
      <c r="F5" s="5"/>
    </row>
    <row r="6" spans="1:6" x14ac:dyDescent="0.3">
      <c r="A6" s="5" t="s">
        <v>128</v>
      </c>
      <c r="B6" s="10">
        <v>112547</v>
      </c>
      <c r="C6" s="10">
        <v>14400000</v>
      </c>
      <c r="D6" s="10">
        <v>64150000</v>
      </c>
      <c r="E6" s="10">
        <v>10260000</v>
      </c>
      <c r="F6" s="5" t="s">
        <v>129</v>
      </c>
    </row>
    <row r="7" spans="1:6" x14ac:dyDescent="0.3">
      <c r="A7" s="5" t="s">
        <v>130</v>
      </c>
      <c r="B7" s="10">
        <v>88614</v>
      </c>
      <c r="C7" s="10">
        <v>8710000</v>
      </c>
      <c r="D7" s="10">
        <v>50510000</v>
      </c>
      <c r="E7" s="10">
        <v>8080000</v>
      </c>
      <c r="F7" s="5"/>
    </row>
    <row r="8" spans="1:6" x14ac:dyDescent="0.3">
      <c r="A8" s="5" t="s">
        <v>131</v>
      </c>
      <c r="B8" s="10">
        <v>76200</v>
      </c>
      <c r="C8" s="10">
        <v>6250000</v>
      </c>
      <c r="D8" s="10">
        <v>43430000</v>
      </c>
      <c r="E8" s="10">
        <v>6950000</v>
      </c>
      <c r="F8" s="5"/>
    </row>
    <row r="9" spans="1:6" x14ac:dyDescent="0.3">
      <c r="A9" s="5" t="s">
        <v>132</v>
      </c>
      <c r="B9" s="10">
        <v>96726</v>
      </c>
      <c r="C9" s="10">
        <v>10950000</v>
      </c>
      <c r="D9" s="10">
        <v>55130000</v>
      </c>
      <c r="E9" s="10">
        <v>8820000</v>
      </c>
      <c r="F9" s="5" t="s">
        <v>129</v>
      </c>
    </row>
    <row r="10" spans="1:6" x14ac:dyDescent="0.3">
      <c r="A10" s="5" t="s">
        <v>133</v>
      </c>
      <c r="B10" s="10">
        <v>83671</v>
      </c>
      <c r="C10" s="10">
        <v>9120000</v>
      </c>
      <c r="D10" s="10">
        <v>47690000</v>
      </c>
      <c r="E10" s="10">
        <v>7630000</v>
      </c>
      <c r="F10" s="5"/>
    </row>
    <row r="11" spans="1:6" x14ac:dyDescent="0.3">
      <c r="A11" s="5" t="s">
        <v>134</v>
      </c>
      <c r="B11" s="10">
        <v>154789</v>
      </c>
      <c r="C11" s="10">
        <v>16400000</v>
      </c>
      <c r="D11" s="10">
        <v>88230000</v>
      </c>
      <c r="E11" s="10">
        <v>14120000</v>
      </c>
      <c r="F11" s="5"/>
    </row>
    <row r="12" spans="1:6" x14ac:dyDescent="0.3">
      <c r="A12" s="5" t="s">
        <v>135</v>
      </c>
      <c r="B12" s="10">
        <v>160643</v>
      </c>
      <c r="C12" s="10">
        <v>17620000</v>
      </c>
      <c r="D12" s="10">
        <v>91570000</v>
      </c>
      <c r="E12" s="10">
        <v>14650000</v>
      </c>
      <c r="F12" s="5" t="s">
        <v>129</v>
      </c>
    </row>
    <row r="13" spans="1:6" x14ac:dyDescent="0.3">
      <c r="A13" s="5" t="s">
        <v>136</v>
      </c>
      <c r="B13" s="10">
        <v>126755</v>
      </c>
      <c r="C13" s="10">
        <v>16840000</v>
      </c>
      <c r="D13" s="10">
        <v>72250000</v>
      </c>
      <c r="E13" s="10">
        <v>11560000</v>
      </c>
      <c r="F13" s="5"/>
    </row>
    <row r="14" spans="1:6" x14ac:dyDescent="0.3">
      <c r="A14" s="5" t="s">
        <v>137</v>
      </c>
      <c r="B14" s="10">
        <v>76925</v>
      </c>
      <c r="C14" s="10">
        <v>9600000</v>
      </c>
      <c r="D14" s="10">
        <v>43850000</v>
      </c>
      <c r="E14" s="10">
        <v>7020000</v>
      </c>
      <c r="F14" s="5" t="s">
        <v>129</v>
      </c>
    </row>
    <row r="15" spans="1:6" x14ac:dyDescent="0.3">
      <c r="A15" s="5" t="s">
        <v>138</v>
      </c>
      <c r="B15" s="10">
        <v>139574</v>
      </c>
      <c r="C15" s="10">
        <v>16520000</v>
      </c>
      <c r="D15" s="10">
        <v>79560000</v>
      </c>
      <c r="E15" s="10">
        <v>12730000</v>
      </c>
      <c r="F15" s="5"/>
    </row>
    <row r="18" spans="1:6" x14ac:dyDescent="0.3">
      <c r="A18" s="1" t="s">
        <v>208</v>
      </c>
      <c r="B18" s="1" t="s">
        <v>210</v>
      </c>
      <c r="C18" s="1"/>
    </row>
    <row r="19" spans="1:6" x14ac:dyDescent="0.3">
      <c r="A19" s="1" t="s">
        <v>209</v>
      </c>
      <c r="B19" s="1" t="s">
        <v>211</v>
      </c>
      <c r="C19" s="1"/>
    </row>
    <row r="20" spans="1:6" x14ac:dyDescent="0.3">
      <c r="A20" s="1"/>
      <c r="B20" s="1"/>
      <c r="C20" s="1"/>
    </row>
    <row r="22" spans="1:6" x14ac:dyDescent="0.3">
      <c r="A22" s="5" t="s">
        <v>120</v>
      </c>
      <c r="B22" s="5" t="s">
        <v>121</v>
      </c>
      <c r="C22" s="5" t="s">
        <v>122</v>
      </c>
      <c r="D22" s="5" t="s">
        <v>123</v>
      </c>
      <c r="E22" s="5" t="s">
        <v>124</v>
      </c>
      <c r="F22" s="5" t="s">
        <v>125</v>
      </c>
    </row>
    <row r="23" spans="1:6" x14ac:dyDescent="0.3">
      <c r="A23" s="5" t="s">
        <v>126</v>
      </c>
      <c r="B23" s="10">
        <v>135211</v>
      </c>
      <c r="C23" s="10">
        <v>18240000</v>
      </c>
      <c r="D23" s="10">
        <v>77070000</v>
      </c>
      <c r="E23" s="10">
        <v>12330000</v>
      </c>
      <c r="F23" s="5"/>
    </row>
    <row r="24" spans="1:6" x14ac:dyDescent="0.3">
      <c r="A24" s="5" t="s">
        <v>134</v>
      </c>
      <c r="B24" s="10">
        <v>154789</v>
      </c>
      <c r="C24" s="10">
        <v>16400000</v>
      </c>
      <c r="D24" s="10">
        <v>88230000</v>
      </c>
      <c r="E24" s="10">
        <v>14120000</v>
      </c>
      <c r="F24" s="5"/>
    </row>
    <row r="25" spans="1:6" x14ac:dyDescent="0.3">
      <c r="A25" s="5" t="s">
        <v>136</v>
      </c>
      <c r="B25" s="10">
        <v>126755</v>
      </c>
      <c r="C25" s="10">
        <v>16840000</v>
      </c>
      <c r="D25" s="10">
        <v>72250000</v>
      </c>
      <c r="E25" s="10">
        <v>11560000</v>
      </c>
      <c r="F25" s="5"/>
    </row>
    <row r="26" spans="1:6" x14ac:dyDescent="0.3">
      <c r="A26" s="5" t="s">
        <v>138</v>
      </c>
      <c r="B26" s="10">
        <v>139574</v>
      </c>
      <c r="C26" s="10">
        <v>16520000</v>
      </c>
      <c r="D26" s="10">
        <v>79560000</v>
      </c>
      <c r="E26" s="10">
        <v>12730000</v>
      </c>
      <c r="F26" s="5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I34"/>
  <sheetViews>
    <sheetView workbookViewId="0"/>
  </sheetViews>
  <sheetFormatPr defaultRowHeight="16.5" x14ac:dyDescent="0.3"/>
  <cols>
    <col min="5" max="5" width="12.375" bestFit="1" customWidth="1"/>
    <col min="6" max="6" width="11" bestFit="1" customWidth="1"/>
    <col min="7" max="7" width="11.125" bestFit="1" customWidth="1"/>
  </cols>
  <sheetData>
    <row r="1" spans="1:9" x14ac:dyDescent="0.3">
      <c r="A1" s="3" t="s">
        <v>24</v>
      </c>
      <c r="B1" s="4" t="s">
        <v>25</v>
      </c>
      <c r="F1" s="3" t="s">
        <v>39</v>
      </c>
      <c r="G1" s="4" t="s">
        <v>40</v>
      </c>
    </row>
    <row r="2" spans="1:9" x14ac:dyDescent="0.3">
      <c r="A2" s="5" t="s">
        <v>26</v>
      </c>
      <c r="B2" s="5" t="s">
        <v>27</v>
      </c>
      <c r="C2" s="5" t="s">
        <v>28</v>
      </c>
      <c r="D2" s="5" t="s">
        <v>29</v>
      </c>
      <c r="F2" s="5" t="s">
        <v>41</v>
      </c>
      <c r="G2" s="5" t="s">
        <v>42</v>
      </c>
      <c r="H2" s="8" t="s">
        <v>43</v>
      </c>
    </row>
    <row r="3" spans="1:9" x14ac:dyDescent="0.3">
      <c r="A3" s="5" t="s">
        <v>30</v>
      </c>
      <c r="B3" s="5">
        <v>86</v>
      </c>
      <c r="C3" s="5">
        <v>81</v>
      </c>
      <c r="D3" s="5">
        <v>167</v>
      </c>
      <c r="F3" s="5" t="s">
        <v>44</v>
      </c>
      <c r="G3" s="7">
        <v>44988</v>
      </c>
      <c r="H3" s="5" t="str">
        <f>IF(MOD(DAY(G3),5)=0,"정기시험","상시시험")</f>
        <v>상시시험</v>
      </c>
    </row>
    <row r="4" spans="1:9" x14ac:dyDescent="0.3">
      <c r="A4" s="5" t="s">
        <v>31</v>
      </c>
      <c r="B4" s="5">
        <v>38</v>
      </c>
      <c r="C4" s="5">
        <v>42</v>
      </c>
      <c r="D4" s="5">
        <v>80</v>
      </c>
      <c r="F4" s="5" t="s">
        <v>45</v>
      </c>
      <c r="G4" s="7">
        <v>44989</v>
      </c>
      <c r="H4" s="5" t="str">
        <f t="shared" ref="H4:H11" si="0">IF(MOD(DAY(G4),5)=0,"정기시험","상시시험")</f>
        <v>상시시험</v>
      </c>
    </row>
    <row r="5" spans="1:9" x14ac:dyDescent="0.3">
      <c r="A5" s="5" t="s">
        <v>32</v>
      </c>
      <c r="B5" s="5">
        <v>93</v>
      </c>
      <c r="C5" s="5">
        <v>92</v>
      </c>
      <c r="D5" s="5">
        <v>185</v>
      </c>
      <c r="F5" s="5" t="s">
        <v>46</v>
      </c>
      <c r="G5" s="7">
        <v>44990</v>
      </c>
      <c r="H5" s="5" t="str">
        <f t="shared" si="0"/>
        <v>정기시험</v>
      </c>
    </row>
    <row r="6" spans="1:9" x14ac:dyDescent="0.3">
      <c r="A6" s="5" t="s">
        <v>33</v>
      </c>
      <c r="B6" s="5">
        <v>82</v>
      </c>
      <c r="C6" s="5">
        <v>79</v>
      </c>
      <c r="D6" s="5">
        <v>161</v>
      </c>
      <c r="F6" s="5" t="s">
        <v>47</v>
      </c>
      <c r="G6" s="7">
        <v>44995</v>
      </c>
      <c r="H6" s="5" t="str">
        <f t="shared" si="0"/>
        <v>정기시험</v>
      </c>
    </row>
    <row r="7" spans="1:9" x14ac:dyDescent="0.3">
      <c r="A7" s="5" t="s">
        <v>34</v>
      </c>
      <c r="B7" s="5">
        <v>74</v>
      </c>
      <c r="C7" s="5">
        <v>81</v>
      </c>
      <c r="D7" s="5">
        <v>155</v>
      </c>
      <c r="F7" s="5" t="s">
        <v>48</v>
      </c>
      <c r="G7" s="7">
        <v>44996</v>
      </c>
      <c r="H7" s="5" t="str">
        <f t="shared" si="0"/>
        <v>상시시험</v>
      </c>
    </row>
    <row r="8" spans="1:9" x14ac:dyDescent="0.3">
      <c r="A8" s="5" t="s">
        <v>35</v>
      </c>
      <c r="B8" s="5">
        <v>92</v>
      </c>
      <c r="C8" s="5">
        <v>95</v>
      </c>
      <c r="D8" s="5">
        <v>187</v>
      </c>
      <c r="F8" s="5" t="s">
        <v>49</v>
      </c>
      <c r="G8" s="7">
        <v>44997</v>
      </c>
      <c r="H8" s="5" t="str">
        <f t="shared" si="0"/>
        <v>상시시험</v>
      </c>
    </row>
    <row r="9" spans="1:9" x14ac:dyDescent="0.3">
      <c r="A9" s="5" t="s">
        <v>36</v>
      </c>
      <c r="B9" s="5">
        <v>69</v>
      </c>
      <c r="C9" s="5">
        <v>68</v>
      </c>
      <c r="D9" s="5">
        <v>137</v>
      </c>
      <c r="F9" s="5" t="s">
        <v>50</v>
      </c>
      <c r="G9" s="7">
        <v>45003</v>
      </c>
      <c r="H9" s="5" t="str">
        <f t="shared" si="0"/>
        <v>상시시험</v>
      </c>
    </row>
    <row r="10" spans="1:9" x14ac:dyDescent="0.3">
      <c r="A10" s="5" t="s">
        <v>37</v>
      </c>
      <c r="B10" s="5">
        <v>59</v>
      </c>
      <c r="C10" s="5">
        <v>43</v>
      </c>
      <c r="D10" s="5">
        <v>102</v>
      </c>
      <c r="F10" s="5" t="s">
        <v>51</v>
      </c>
      <c r="G10" s="7">
        <v>45004</v>
      </c>
      <c r="H10" s="5" t="str">
        <f t="shared" si="0"/>
        <v>상시시험</v>
      </c>
    </row>
    <row r="11" spans="1:9" x14ac:dyDescent="0.3">
      <c r="A11" s="13" t="s">
        <v>38</v>
      </c>
      <c r="B11" s="14"/>
      <c r="C11" s="15"/>
      <c r="D11" s="6">
        <f>COUNTIFS(B3:B10,"&gt;=45",C3:C10,"&gt;=45",D3:D10,"&gt;="&amp;AVERAGE(D3:D10))/COUNTA(A3:A10)</f>
        <v>0.625</v>
      </c>
      <c r="F11" s="5" t="s">
        <v>52</v>
      </c>
      <c r="G11" s="7">
        <v>45005</v>
      </c>
      <c r="H11" s="5" t="str">
        <f t="shared" si="0"/>
        <v>정기시험</v>
      </c>
    </row>
    <row r="13" spans="1:9" x14ac:dyDescent="0.3">
      <c r="A13" s="3" t="s">
        <v>53</v>
      </c>
      <c r="B13" s="4" t="s">
        <v>54</v>
      </c>
      <c r="G13" s="9" t="s">
        <v>55</v>
      </c>
      <c r="H13" s="4" t="s">
        <v>56</v>
      </c>
    </row>
    <row r="14" spans="1:9" x14ac:dyDescent="0.3">
      <c r="A14" s="5" t="s">
        <v>26</v>
      </c>
      <c r="B14" s="5" t="s">
        <v>57</v>
      </c>
      <c r="C14" s="5" t="s">
        <v>58</v>
      </c>
      <c r="D14" s="5" t="s">
        <v>59</v>
      </c>
      <c r="E14" s="8" t="s">
        <v>60</v>
      </c>
      <c r="G14" s="5" t="s">
        <v>60</v>
      </c>
      <c r="H14" s="5" t="s">
        <v>61</v>
      </c>
      <c r="I14" s="8" t="s">
        <v>62</v>
      </c>
    </row>
    <row r="15" spans="1:9" x14ac:dyDescent="0.3">
      <c r="A15" s="5" t="s">
        <v>63</v>
      </c>
      <c r="B15" s="5">
        <v>2020</v>
      </c>
      <c r="C15" s="5" t="s">
        <v>64</v>
      </c>
      <c r="D15" s="5" t="s">
        <v>65</v>
      </c>
      <c r="E15" s="5" t="str">
        <f>UPPER(LEFT(C15,3)&amp;"-"&amp;B15&amp;"-"&amp;RIGHT(C15,1))</f>
        <v>PRO-2020-K</v>
      </c>
      <c r="G15" s="5" t="s">
        <v>66</v>
      </c>
      <c r="H15" s="10">
        <v>1253</v>
      </c>
      <c r="I15" s="5" t="str">
        <f>CHOOSE(_xlfn.RANK.EQ(H15,$H$15:$H$22),"우수","우수","","","","","노력","노력")</f>
        <v>노력</v>
      </c>
    </row>
    <row r="16" spans="1:9" x14ac:dyDescent="0.3">
      <c r="A16" s="5" t="s">
        <v>67</v>
      </c>
      <c r="B16" s="5">
        <v>2019</v>
      </c>
      <c r="C16" s="5" t="s">
        <v>68</v>
      </c>
      <c r="D16" s="5" t="s">
        <v>69</v>
      </c>
      <c r="E16" s="5" t="str">
        <f t="shared" ref="E16:E22" si="1">UPPER(LEFT(C16,3)&amp;"-"&amp;B16&amp;"-"&amp;RIGHT(C16,1))</f>
        <v>PLA-2019-D</v>
      </c>
      <c r="G16" s="5" t="s">
        <v>70</v>
      </c>
      <c r="H16" s="10">
        <v>1657</v>
      </c>
      <c r="I16" s="5" t="str">
        <f t="shared" ref="I16:I22" si="2">CHOOSE(_xlfn.RANK.EQ(H16,$H$15:$H$22),"우수","우수","","","","","노력","노력")</f>
        <v/>
      </c>
    </row>
    <row r="17" spans="1:9" x14ac:dyDescent="0.3">
      <c r="A17" s="5" t="s">
        <v>71</v>
      </c>
      <c r="B17" s="5">
        <v>2018</v>
      </c>
      <c r="C17" s="5" t="s">
        <v>72</v>
      </c>
      <c r="D17" s="5" t="s">
        <v>65</v>
      </c>
      <c r="E17" s="5" t="str">
        <f t="shared" si="1"/>
        <v>BCK-2018-A</v>
      </c>
      <c r="G17" s="5" t="s">
        <v>73</v>
      </c>
      <c r="H17" s="10">
        <v>2666</v>
      </c>
      <c r="I17" s="5" t="str">
        <f t="shared" si="2"/>
        <v>우수</v>
      </c>
    </row>
    <row r="18" spans="1:9" x14ac:dyDescent="0.3">
      <c r="A18" s="5" t="s">
        <v>74</v>
      </c>
      <c r="B18" s="5">
        <v>2022</v>
      </c>
      <c r="C18" s="5" t="s">
        <v>75</v>
      </c>
      <c r="D18" s="5" t="s">
        <v>76</v>
      </c>
      <c r="E18" s="5" t="str">
        <f t="shared" si="1"/>
        <v>IUF-2022-E</v>
      </c>
      <c r="G18" s="5" t="s">
        <v>77</v>
      </c>
      <c r="H18" s="10">
        <v>1809</v>
      </c>
      <c r="I18" s="5" t="str">
        <f t="shared" si="2"/>
        <v/>
      </c>
    </row>
    <row r="19" spans="1:9" x14ac:dyDescent="0.3">
      <c r="A19" s="5" t="s">
        <v>78</v>
      </c>
      <c r="B19" s="5">
        <v>2021</v>
      </c>
      <c r="C19" s="5" t="s">
        <v>79</v>
      </c>
      <c r="D19" s="5" t="s">
        <v>65</v>
      </c>
      <c r="E19" s="5" t="str">
        <f t="shared" si="1"/>
        <v>FVH-2021-P</v>
      </c>
      <c r="G19" s="5" t="s">
        <v>80</v>
      </c>
      <c r="H19" s="10">
        <v>2468</v>
      </c>
      <c r="I19" s="5" t="str">
        <f t="shared" si="2"/>
        <v/>
      </c>
    </row>
    <row r="20" spans="1:9" x14ac:dyDescent="0.3">
      <c r="A20" s="5" t="s">
        <v>81</v>
      </c>
      <c r="B20" s="5">
        <v>2019</v>
      </c>
      <c r="C20" s="5" t="s">
        <v>82</v>
      </c>
      <c r="D20" s="5" t="s">
        <v>69</v>
      </c>
      <c r="E20" s="5" t="str">
        <f t="shared" si="1"/>
        <v>NCR-2019-U</v>
      </c>
      <c r="G20" s="5" t="s">
        <v>83</v>
      </c>
      <c r="H20" s="10">
        <v>2578</v>
      </c>
      <c r="I20" s="5" t="str">
        <f t="shared" si="2"/>
        <v>우수</v>
      </c>
    </row>
    <row r="21" spans="1:9" x14ac:dyDescent="0.3">
      <c r="A21" s="5" t="s">
        <v>84</v>
      </c>
      <c r="B21" s="5">
        <v>2021</v>
      </c>
      <c r="C21" s="5" t="s">
        <v>85</v>
      </c>
      <c r="D21" s="5" t="s">
        <v>76</v>
      </c>
      <c r="E21" s="5" t="str">
        <f t="shared" si="1"/>
        <v>BLC-2021-Y</v>
      </c>
      <c r="G21" s="5" t="s">
        <v>86</v>
      </c>
      <c r="H21" s="10">
        <v>1027</v>
      </c>
      <c r="I21" s="5" t="str">
        <f t="shared" si="2"/>
        <v>노력</v>
      </c>
    </row>
    <row r="22" spans="1:9" x14ac:dyDescent="0.3">
      <c r="A22" s="5" t="s">
        <v>87</v>
      </c>
      <c r="B22" s="5">
        <v>2019</v>
      </c>
      <c r="C22" s="5" t="s">
        <v>88</v>
      </c>
      <c r="D22" s="5" t="s">
        <v>69</v>
      </c>
      <c r="E22" s="5" t="str">
        <f t="shared" si="1"/>
        <v>NTO-2019-L</v>
      </c>
      <c r="G22" s="5" t="s">
        <v>89</v>
      </c>
      <c r="H22" s="10">
        <v>1968</v>
      </c>
      <c r="I22" s="5" t="str">
        <f t="shared" si="2"/>
        <v/>
      </c>
    </row>
    <row r="24" spans="1:9" x14ac:dyDescent="0.3">
      <c r="A24" s="3" t="s">
        <v>90</v>
      </c>
      <c r="B24" s="4" t="s">
        <v>91</v>
      </c>
    </row>
    <row r="25" spans="1:9" x14ac:dyDescent="0.3">
      <c r="A25" s="5" t="s">
        <v>92</v>
      </c>
      <c r="B25" s="5" t="s">
        <v>93</v>
      </c>
      <c r="C25" s="5" t="s">
        <v>94</v>
      </c>
      <c r="D25" s="5" t="s">
        <v>95</v>
      </c>
      <c r="E25" s="5" t="s">
        <v>96</v>
      </c>
      <c r="F25" s="5" t="s">
        <v>97</v>
      </c>
      <c r="G25" s="8" t="s">
        <v>98</v>
      </c>
    </row>
    <row r="26" spans="1:9" x14ac:dyDescent="0.3">
      <c r="A26" s="5" t="s">
        <v>99</v>
      </c>
      <c r="B26" s="5">
        <v>86</v>
      </c>
      <c r="C26" s="5">
        <v>88</v>
      </c>
      <c r="D26" s="5">
        <v>92</v>
      </c>
      <c r="E26" s="5">
        <v>86</v>
      </c>
      <c r="F26" s="5">
        <v>90</v>
      </c>
      <c r="G26" s="5">
        <f>AVERAGEIF(B26:F26,"&gt;"&amp;MEDIAN(B26:F26),B26:F26)</f>
        <v>91</v>
      </c>
    </row>
    <row r="27" spans="1:9" x14ac:dyDescent="0.3">
      <c r="A27" s="5" t="s">
        <v>100</v>
      </c>
      <c r="B27" s="5">
        <v>92</v>
      </c>
      <c r="C27" s="5">
        <v>93</v>
      </c>
      <c r="D27" s="5">
        <v>94</v>
      </c>
      <c r="E27" s="5">
        <v>93</v>
      </c>
      <c r="F27" s="5">
        <v>94</v>
      </c>
      <c r="G27" s="5">
        <f t="shared" ref="G27:G34" si="3">AVERAGEIF(B27:F27,"&gt;"&amp;MEDIAN(B27:F27),B27:F27)</f>
        <v>94</v>
      </c>
    </row>
    <row r="28" spans="1:9" x14ac:dyDescent="0.3">
      <c r="A28" s="5" t="s">
        <v>101</v>
      </c>
      <c r="B28" s="5">
        <v>94</v>
      </c>
      <c r="C28" s="5">
        <v>84</v>
      </c>
      <c r="D28" s="5">
        <v>88</v>
      </c>
      <c r="E28" s="5">
        <v>92</v>
      </c>
      <c r="F28" s="5">
        <v>90</v>
      </c>
      <c r="G28" s="5">
        <f t="shared" si="3"/>
        <v>93</v>
      </c>
    </row>
    <row r="29" spans="1:9" x14ac:dyDescent="0.3">
      <c r="A29" s="5" t="s">
        <v>102</v>
      </c>
      <c r="B29" s="5">
        <v>79</v>
      </c>
      <c r="C29" s="5">
        <v>84</v>
      </c>
      <c r="D29" s="5">
        <v>87</v>
      </c>
      <c r="E29" s="5">
        <v>83</v>
      </c>
      <c r="F29" s="5">
        <v>85</v>
      </c>
      <c r="G29" s="5">
        <f t="shared" si="3"/>
        <v>86</v>
      </c>
    </row>
    <row r="30" spans="1:9" x14ac:dyDescent="0.3">
      <c r="A30" s="5" t="s">
        <v>103</v>
      </c>
      <c r="B30" s="5">
        <v>82</v>
      </c>
      <c r="C30" s="5">
        <v>72</v>
      </c>
      <c r="D30" s="5">
        <v>75</v>
      </c>
      <c r="E30" s="5">
        <v>80</v>
      </c>
      <c r="F30" s="5">
        <v>76</v>
      </c>
      <c r="G30" s="5">
        <f t="shared" si="3"/>
        <v>81</v>
      </c>
    </row>
    <row r="31" spans="1:9" x14ac:dyDescent="0.3">
      <c r="A31" s="5" t="s">
        <v>104</v>
      </c>
      <c r="B31" s="5">
        <v>69</v>
      </c>
      <c r="C31" s="5">
        <v>68</v>
      </c>
      <c r="D31" s="5">
        <v>69</v>
      </c>
      <c r="E31" s="5">
        <v>65</v>
      </c>
      <c r="F31" s="5">
        <v>60</v>
      </c>
      <c r="G31" s="5">
        <f t="shared" si="3"/>
        <v>69</v>
      </c>
    </row>
    <row r="32" spans="1:9" x14ac:dyDescent="0.3">
      <c r="A32" s="5" t="s">
        <v>105</v>
      </c>
      <c r="B32" s="5">
        <v>77</v>
      </c>
      <c r="C32" s="5">
        <v>82</v>
      </c>
      <c r="D32" s="5">
        <v>71</v>
      </c>
      <c r="E32" s="5">
        <v>80</v>
      </c>
      <c r="F32" s="5">
        <v>75</v>
      </c>
      <c r="G32" s="5">
        <f t="shared" si="3"/>
        <v>81</v>
      </c>
    </row>
    <row r="33" spans="1:7" x14ac:dyDescent="0.3">
      <c r="A33" s="5" t="s">
        <v>106</v>
      </c>
      <c r="B33" s="5">
        <v>82</v>
      </c>
      <c r="C33" s="5">
        <v>84</v>
      </c>
      <c r="D33" s="5">
        <v>86</v>
      </c>
      <c r="E33" s="5">
        <v>90</v>
      </c>
      <c r="F33" s="5">
        <v>84</v>
      </c>
      <c r="G33" s="5">
        <f t="shared" si="3"/>
        <v>88</v>
      </c>
    </row>
    <row r="34" spans="1:7" x14ac:dyDescent="0.3">
      <c r="A34" s="5" t="s">
        <v>107</v>
      </c>
      <c r="B34" s="5">
        <v>93</v>
      </c>
      <c r="C34" s="5">
        <v>91</v>
      </c>
      <c r="D34" s="5">
        <v>95</v>
      </c>
      <c r="E34" s="5">
        <v>93</v>
      </c>
      <c r="F34" s="5">
        <v>95</v>
      </c>
      <c r="G34" s="5">
        <f t="shared" si="3"/>
        <v>95</v>
      </c>
    </row>
  </sheetData>
  <mergeCells count="1">
    <mergeCell ref="A11:C1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H22"/>
  <sheetViews>
    <sheetView workbookViewId="0">
      <selection sqref="A1:H1"/>
    </sheetView>
  </sheetViews>
  <sheetFormatPr defaultRowHeight="16.5" outlineLevelRow="3" x14ac:dyDescent="0.3"/>
  <cols>
    <col min="1" max="1" width="11.875" bestFit="1" customWidth="1"/>
    <col min="2" max="2" width="11" bestFit="1" customWidth="1"/>
    <col min="4" max="4" width="10.875" bestFit="1" customWidth="1"/>
    <col min="5" max="5" width="9.125" bestFit="1" customWidth="1"/>
    <col min="7" max="8" width="10.875" bestFit="1" customWidth="1"/>
  </cols>
  <sheetData>
    <row r="1" spans="1:8" ht="20.25" x14ac:dyDescent="0.3">
      <c r="A1" s="12" t="s">
        <v>150</v>
      </c>
      <c r="B1" s="12"/>
      <c r="C1" s="12"/>
      <c r="D1" s="12"/>
      <c r="E1" s="12"/>
      <c r="F1" s="12"/>
      <c r="G1" s="12"/>
      <c r="H1" s="12"/>
    </row>
    <row r="3" spans="1:8" x14ac:dyDescent="0.3">
      <c r="A3" s="5" t="s">
        <v>43</v>
      </c>
      <c r="B3" s="5" t="s">
        <v>151</v>
      </c>
      <c r="C3" s="5" t="s">
        <v>152</v>
      </c>
      <c r="D3" s="5" t="s">
        <v>153</v>
      </c>
      <c r="E3" s="5" t="s">
        <v>154</v>
      </c>
      <c r="F3" s="5" t="s">
        <v>61</v>
      </c>
      <c r="G3" s="5" t="s">
        <v>155</v>
      </c>
      <c r="H3" s="5" t="s">
        <v>156</v>
      </c>
    </row>
    <row r="4" spans="1:8" outlineLevel="3" x14ac:dyDescent="0.3">
      <c r="A4" s="5" t="s">
        <v>157</v>
      </c>
      <c r="B4" s="5" t="s">
        <v>158</v>
      </c>
      <c r="C4" s="5" t="s">
        <v>126</v>
      </c>
      <c r="D4" s="10">
        <v>2640000</v>
      </c>
      <c r="E4" s="10">
        <v>19000</v>
      </c>
      <c r="F4" s="10">
        <v>211</v>
      </c>
      <c r="G4" s="10">
        <f>E4*F4</f>
        <v>4009000</v>
      </c>
      <c r="H4" s="10">
        <f>G4-D4</f>
        <v>1369000</v>
      </c>
    </row>
    <row r="5" spans="1:8" outlineLevel="3" x14ac:dyDescent="0.3">
      <c r="A5" s="5" t="s">
        <v>157</v>
      </c>
      <c r="B5" s="5" t="s">
        <v>165</v>
      </c>
      <c r="C5" s="5" t="s">
        <v>163</v>
      </c>
      <c r="D5" s="10">
        <v>2000000</v>
      </c>
      <c r="E5" s="10">
        <v>16000</v>
      </c>
      <c r="F5" s="10">
        <v>185</v>
      </c>
      <c r="G5" s="10">
        <f>E5*F5</f>
        <v>2960000</v>
      </c>
      <c r="H5" s="10">
        <f>G5-D5</f>
        <v>960000</v>
      </c>
    </row>
    <row r="6" spans="1:8" outlineLevel="3" x14ac:dyDescent="0.3">
      <c r="A6" s="5" t="s">
        <v>157</v>
      </c>
      <c r="B6" s="5" t="s">
        <v>168</v>
      </c>
      <c r="C6" s="5" t="s">
        <v>132</v>
      </c>
      <c r="D6" s="10">
        <v>2400000</v>
      </c>
      <c r="E6" s="10">
        <v>19000</v>
      </c>
      <c r="F6" s="10">
        <v>175</v>
      </c>
      <c r="G6" s="10">
        <f>E6*F6</f>
        <v>3325000</v>
      </c>
      <c r="H6" s="10">
        <f>G6-D6</f>
        <v>925000</v>
      </c>
    </row>
    <row r="7" spans="1:8" outlineLevel="3" x14ac:dyDescent="0.3">
      <c r="A7" s="5" t="s">
        <v>157</v>
      </c>
      <c r="B7" s="5" t="s">
        <v>171</v>
      </c>
      <c r="C7" s="5" t="s">
        <v>163</v>
      </c>
      <c r="D7" s="10">
        <v>1900000</v>
      </c>
      <c r="E7" s="10">
        <v>16000</v>
      </c>
      <c r="F7" s="10">
        <v>135</v>
      </c>
      <c r="G7" s="10">
        <f>E7*F7</f>
        <v>2160000</v>
      </c>
      <c r="H7" s="10">
        <f>G7-D7</f>
        <v>260000</v>
      </c>
    </row>
    <row r="8" spans="1:8" outlineLevel="2" x14ac:dyDescent="0.3">
      <c r="A8" s="26" t="s">
        <v>216</v>
      </c>
      <c r="B8" s="5"/>
      <c r="C8" s="5"/>
      <c r="D8" s="10"/>
      <c r="E8" s="10"/>
      <c r="F8" s="10"/>
      <c r="G8" s="10">
        <f>SUBTOTAL(1,G4:G7)</f>
        <v>3113500</v>
      </c>
      <c r="H8" s="10">
        <f>SUBTOTAL(1,H4:H7)</f>
        <v>878500</v>
      </c>
    </row>
    <row r="9" spans="1:8" outlineLevel="1" x14ac:dyDescent="0.3">
      <c r="A9" s="26" t="s">
        <v>212</v>
      </c>
      <c r="B9" s="5"/>
      <c r="C9" s="5"/>
      <c r="D9" s="10"/>
      <c r="E9" s="10"/>
      <c r="F9" s="10">
        <f>SUBTOTAL(9,F4:F7)</f>
        <v>706</v>
      </c>
      <c r="G9" s="10"/>
      <c r="H9" s="10"/>
    </row>
    <row r="10" spans="1:8" outlineLevel="3" x14ac:dyDescent="0.3">
      <c r="A10" s="5" t="s">
        <v>161</v>
      </c>
      <c r="B10" s="5" t="s">
        <v>162</v>
      </c>
      <c r="C10" s="5" t="s">
        <v>163</v>
      </c>
      <c r="D10" s="10">
        <v>3105000</v>
      </c>
      <c r="E10" s="10">
        <v>21000</v>
      </c>
      <c r="F10" s="10">
        <v>198</v>
      </c>
      <c r="G10" s="10">
        <f>E10*F10</f>
        <v>4158000</v>
      </c>
      <c r="H10" s="10">
        <f>G10-D10</f>
        <v>1053000</v>
      </c>
    </row>
    <row r="11" spans="1:8" outlineLevel="3" x14ac:dyDescent="0.3">
      <c r="A11" s="5" t="s">
        <v>161</v>
      </c>
      <c r="B11" s="5" t="s">
        <v>166</v>
      </c>
      <c r="C11" s="5" t="s">
        <v>163</v>
      </c>
      <c r="D11" s="10">
        <v>2070000</v>
      </c>
      <c r="E11" s="10">
        <v>18000</v>
      </c>
      <c r="F11" s="10">
        <v>168</v>
      </c>
      <c r="G11" s="10">
        <f>E11*F11</f>
        <v>3024000</v>
      </c>
      <c r="H11" s="10">
        <f>G11-D11</f>
        <v>954000</v>
      </c>
    </row>
    <row r="12" spans="1:8" outlineLevel="3" x14ac:dyDescent="0.3">
      <c r="A12" s="5" t="s">
        <v>161</v>
      </c>
      <c r="B12" s="5" t="s">
        <v>167</v>
      </c>
      <c r="C12" s="5" t="s">
        <v>132</v>
      </c>
      <c r="D12" s="10">
        <v>2730000</v>
      </c>
      <c r="E12" s="10">
        <v>20000</v>
      </c>
      <c r="F12" s="10">
        <v>183</v>
      </c>
      <c r="G12" s="10">
        <f>E12*F12</f>
        <v>3660000</v>
      </c>
      <c r="H12" s="10">
        <f>G12-D12</f>
        <v>930000</v>
      </c>
    </row>
    <row r="13" spans="1:8" outlineLevel="2" x14ac:dyDescent="0.3">
      <c r="A13" s="26" t="s">
        <v>217</v>
      </c>
      <c r="B13" s="5"/>
      <c r="C13" s="5"/>
      <c r="D13" s="10"/>
      <c r="E13" s="10"/>
      <c r="F13" s="10"/>
      <c r="G13" s="10">
        <f>SUBTOTAL(1,G10:G12)</f>
        <v>3614000</v>
      </c>
      <c r="H13" s="10">
        <f>SUBTOTAL(1,H10:H12)</f>
        <v>979000</v>
      </c>
    </row>
    <row r="14" spans="1:8" outlineLevel="1" x14ac:dyDescent="0.3">
      <c r="A14" s="26" t="s">
        <v>213</v>
      </c>
      <c r="B14" s="5"/>
      <c r="C14" s="5"/>
      <c r="D14" s="10"/>
      <c r="E14" s="10"/>
      <c r="F14" s="10">
        <f>SUBTOTAL(9,F10:F12)</f>
        <v>549</v>
      </c>
      <c r="G14" s="10"/>
      <c r="H14" s="10"/>
    </row>
    <row r="15" spans="1:8" outlineLevel="3" x14ac:dyDescent="0.3">
      <c r="A15" s="5" t="s">
        <v>159</v>
      </c>
      <c r="B15" s="5" t="s">
        <v>160</v>
      </c>
      <c r="C15" s="5" t="s">
        <v>132</v>
      </c>
      <c r="D15" s="10">
        <v>2880000</v>
      </c>
      <c r="E15" s="10">
        <v>19000</v>
      </c>
      <c r="F15" s="10">
        <v>222</v>
      </c>
      <c r="G15" s="10">
        <f>E15*F15</f>
        <v>4218000</v>
      </c>
      <c r="H15" s="10">
        <f>G15-D15</f>
        <v>1338000</v>
      </c>
    </row>
    <row r="16" spans="1:8" outlineLevel="3" x14ac:dyDescent="0.3">
      <c r="A16" s="5" t="s">
        <v>159</v>
      </c>
      <c r="B16" s="5" t="s">
        <v>164</v>
      </c>
      <c r="C16" s="5" t="s">
        <v>126</v>
      </c>
      <c r="D16" s="10">
        <v>2660000</v>
      </c>
      <c r="E16" s="10">
        <v>22000</v>
      </c>
      <c r="F16" s="10">
        <v>165</v>
      </c>
      <c r="G16" s="10">
        <f>E16*F16</f>
        <v>3630000</v>
      </c>
      <c r="H16" s="10">
        <f>G16-D16</f>
        <v>970000</v>
      </c>
    </row>
    <row r="17" spans="1:8" outlineLevel="3" x14ac:dyDescent="0.3">
      <c r="A17" s="5" t="s">
        <v>159</v>
      </c>
      <c r="B17" s="5" t="s">
        <v>169</v>
      </c>
      <c r="C17" s="5" t="s">
        <v>126</v>
      </c>
      <c r="D17" s="10">
        <v>1890000</v>
      </c>
      <c r="E17" s="10">
        <v>16000</v>
      </c>
      <c r="F17" s="10">
        <v>166</v>
      </c>
      <c r="G17" s="10">
        <f>E17*F17</f>
        <v>2656000</v>
      </c>
      <c r="H17" s="10">
        <f>G17-D17</f>
        <v>766000</v>
      </c>
    </row>
    <row r="18" spans="1:8" outlineLevel="3" x14ac:dyDescent="0.3">
      <c r="A18" s="5" t="s">
        <v>159</v>
      </c>
      <c r="B18" s="5" t="s">
        <v>170</v>
      </c>
      <c r="C18" s="5" t="s">
        <v>132</v>
      </c>
      <c r="D18" s="10">
        <v>1890000</v>
      </c>
      <c r="E18" s="10">
        <v>16000</v>
      </c>
      <c r="F18" s="10">
        <v>145</v>
      </c>
      <c r="G18" s="10">
        <f>E18*F18</f>
        <v>2320000</v>
      </c>
      <c r="H18" s="10">
        <f>G18-D18</f>
        <v>430000</v>
      </c>
    </row>
    <row r="19" spans="1:8" outlineLevel="2" x14ac:dyDescent="0.3">
      <c r="A19" s="29" t="s">
        <v>218</v>
      </c>
      <c r="B19" s="27"/>
      <c r="C19" s="27"/>
      <c r="D19" s="28"/>
      <c r="E19" s="28"/>
      <c r="F19" s="28"/>
      <c r="G19" s="28">
        <f>SUBTOTAL(1,G15:G18)</f>
        <v>3206000</v>
      </c>
      <c r="H19" s="28">
        <f>SUBTOTAL(1,H15:H18)</f>
        <v>876000</v>
      </c>
    </row>
    <row r="20" spans="1:8" outlineLevel="1" x14ac:dyDescent="0.3">
      <c r="A20" s="29" t="s">
        <v>214</v>
      </c>
      <c r="B20" s="27"/>
      <c r="C20" s="27"/>
      <c r="D20" s="28"/>
      <c r="E20" s="28"/>
      <c r="F20" s="28">
        <f>SUBTOTAL(9,F15:F18)</f>
        <v>698</v>
      </c>
      <c r="G20" s="28"/>
      <c r="H20" s="28"/>
    </row>
    <row r="21" spans="1:8" x14ac:dyDescent="0.3">
      <c r="A21" s="29" t="s">
        <v>219</v>
      </c>
      <c r="B21" s="27"/>
      <c r="C21" s="27"/>
      <c r="D21" s="28"/>
      <c r="E21" s="28"/>
      <c r="F21" s="28"/>
      <c r="G21" s="28">
        <f>SUBTOTAL(1,G4:G18)</f>
        <v>3283636.3636363638</v>
      </c>
      <c r="H21" s="28">
        <f>SUBTOTAL(1,H4:H18)</f>
        <v>905000</v>
      </c>
    </row>
    <row r="22" spans="1:8" x14ac:dyDescent="0.3">
      <c r="A22" s="29" t="s">
        <v>215</v>
      </c>
      <c r="B22" s="27"/>
      <c r="C22" s="27"/>
      <c r="D22" s="28"/>
      <c r="E22" s="28"/>
      <c r="F22" s="28">
        <f>SUBTOTAL(9,F4:F18)</f>
        <v>1953</v>
      </c>
      <c r="G22" s="28"/>
      <c r="H22" s="28"/>
    </row>
  </sheetData>
  <sortState xmlns:xlrd2="http://schemas.microsoft.com/office/spreadsheetml/2017/richdata2" ref="A4:H18">
    <sortCondition descending="1" ref="A4:A18"/>
  </sortState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G12"/>
  <sheetViews>
    <sheetView workbookViewId="0">
      <selection sqref="A1:G1"/>
    </sheetView>
  </sheetViews>
  <sheetFormatPr defaultRowHeight="16.5" x14ac:dyDescent="0.3"/>
  <sheetData>
    <row r="1" spans="1:7" ht="20.25" x14ac:dyDescent="0.3">
      <c r="A1" s="12" t="s">
        <v>172</v>
      </c>
      <c r="B1" s="12"/>
      <c r="C1" s="12"/>
      <c r="D1" s="12"/>
      <c r="E1" s="12"/>
      <c r="F1" s="12"/>
      <c r="G1" s="12"/>
    </row>
    <row r="3" spans="1:7" x14ac:dyDescent="0.3">
      <c r="A3" s="5" t="s">
        <v>173</v>
      </c>
      <c r="B3" s="5" t="s">
        <v>174</v>
      </c>
      <c r="C3" s="5" t="s">
        <v>175</v>
      </c>
      <c r="D3" s="5" t="s">
        <v>176</v>
      </c>
      <c r="E3" s="5" t="s">
        <v>177</v>
      </c>
      <c r="F3" s="5" t="s">
        <v>178</v>
      </c>
      <c r="G3" s="5" t="s">
        <v>98</v>
      </c>
    </row>
    <row r="4" spans="1:7" x14ac:dyDescent="0.3">
      <c r="A4" s="5" t="s">
        <v>179</v>
      </c>
      <c r="B4" s="5" t="s">
        <v>180</v>
      </c>
      <c r="C4" s="5">
        <v>79</v>
      </c>
      <c r="D4" s="5">
        <v>77</v>
      </c>
      <c r="E4" s="5">
        <v>84</v>
      </c>
      <c r="F4" s="5">
        <v>73</v>
      </c>
      <c r="G4" s="11">
        <f>AVERAGE(C4:F4)</f>
        <v>78.25</v>
      </c>
    </row>
    <row r="5" spans="1:7" x14ac:dyDescent="0.3">
      <c r="A5" s="5" t="s">
        <v>181</v>
      </c>
      <c r="B5" s="5" t="s">
        <v>182</v>
      </c>
      <c r="C5" s="5">
        <v>83</v>
      </c>
      <c r="D5" s="5">
        <v>91</v>
      </c>
      <c r="E5" s="5">
        <v>90</v>
      </c>
      <c r="F5" s="5">
        <v>89</v>
      </c>
      <c r="G5" s="11">
        <f t="shared" ref="G5:G12" si="0">AVERAGE(C5:F5)</f>
        <v>88.25</v>
      </c>
    </row>
    <row r="6" spans="1:7" x14ac:dyDescent="0.3">
      <c r="A6" s="5" t="s">
        <v>183</v>
      </c>
      <c r="B6" s="5" t="s">
        <v>184</v>
      </c>
      <c r="C6" s="5">
        <v>94</v>
      </c>
      <c r="D6" s="5">
        <v>95</v>
      </c>
      <c r="E6" s="5">
        <v>96</v>
      </c>
      <c r="F6" s="5">
        <v>97</v>
      </c>
      <c r="G6" s="11">
        <f t="shared" si="0"/>
        <v>95.5</v>
      </c>
    </row>
    <row r="7" spans="1:7" x14ac:dyDescent="0.3">
      <c r="A7" s="5" t="s">
        <v>185</v>
      </c>
      <c r="B7" s="5" t="s">
        <v>182</v>
      </c>
      <c r="C7" s="5">
        <v>92</v>
      </c>
      <c r="D7" s="5">
        <v>90</v>
      </c>
      <c r="E7" s="5">
        <v>93</v>
      </c>
      <c r="F7" s="5">
        <v>91</v>
      </c>
      <c r="G7" s="11">
        <f t="shared" si="0"/>
        <v>91.5</v>
      </c>
    </row>
    <row r="8" spans="1:7" x14ac:dyDescent="0.3">
      <c r="A8" s="5" t="s">
        <v>186</v>
      </c>
      <c r="B8" s="5" t="s">
        <v>184</v>
      </c>
      <c r="C8" s="5">
        <v>95</v>
      </c>
      <c r="D8" s="5">
        <v>93</v>
      </c>
      <c r="E8" s="5">
        <v>83</v>
      </c>
      <c r="F8" s="5">
        <v>89</v>
      </c>
      <c r="G8" s="11">
        <f t="shared" si="0"/>
        <v>90</v>
      </c>
    </row>
    <row r="9" spans="1:7" x14ac:dyDescent="0.3">
      <c r="A9" s="5" t="s">
        <v>187</v>
      </c>
      <c r="B9" s="5" t="s">
        <v>180</v>
      </c>
      <c r="C9" s="5">
        <v>91</v>
      </c>
      <c r="D9" s="5">
        <v>94</v>
      </c>
      <c r="E9" s="5">
        <v>88</v>
      </c>
      <c r="F9" s="5">
        <v>90</v>
      </c>
      <c r="G9" s="11">
        <f t="shared" si="0"/>
        <v>90.75</v>
      </c>
    </row>
    <row r="10" spans="1:7" x14ac:dyDescent="0.3">
      <c r="A10" s="5" t="s">
        <v>188</v>
      </c>
      <c r="B10" s="5" t="s">
        <v>180</v>
      </c>
      <c r="C10" s="5">
        <v>83</v>
      </c>
      <c r="D10" s="5">
        <v>76</v>
      </c>
      <c r="E10" s="5">
        <v>80</v>
      </c>
      <c r="F10" s="5">
        <v>92</v>
      </c>
      <c r="G10" s="11">
        <f t="shared" si="0"/>
        <v>82.75</v>
      </c>
    </row>
    <row r="11" spans="1:7" x14ac:dyDescent="0.3">
      <c r="A11" s="5" t="s">
        <v>189</v>
      </c>
      <c r="B11" s="5" t="s">
        <v>184</v>
      </c>
      <c r="C11" s="5">
        <v>91</v>
      </c>
      <c r="D11" s="5">
        <v>83</v>
      </c>
      <c r="E11" s="5">
        <v>90</v>
      </c>
      <c r="F11" s="5">
        <v>87</v>
      </c>
      <c r="G11" s="11">
        <f t="shared" si="0"/>
        <v>87.75</v>
      </c>
    </row>
    <row r="12" spans="1:7" x14ac:dyDescent="0.3">
      <c r="A12" s="5" t="s">
        <v>190</v>
      </c>
      <c r="B12" s="5" t="s">
        <v>182</v>
      </c>
      <c r="C12" s="5">
        <v>72</v>
      </c>
      <c r="D12" s="5">
        <v>69</v>
      </c>
      <c r="E12" s="5">
        <v>76</v>
      </c>
      <c r="F12" s="5">
        <v>65</v>
      </c>
      <c r="G12" s="11">
        <f t="shared" si="0"/>
        <v>70.5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E11"/>
  <sheetViews>
    <sheetView workbookViewId="0">
      <selection sqref="A1:E1"/>
    </sheetView>
  </sheetViews>
  <sheetFormatPr defaultRowHeight="16.5" x14ac:dyDescent="0.3"/>
  <cols>
    <col min="5" max="5" width="12.5" bestFit="1" customWidth="1"/>
    <col min="7" max="7" width="11.625" customWidth="1"/>
  </cols>
  <sheetData>
    <row r="1" spans="1:5" ht="20.25" x14ac:dyDescent="0.3">
      <c r="A1" s="12" t="s">
        <v>191</v>
      </c>
      <c r="B1" s="12"/>
      <c r="C1" s="12"/>
      <c r="D1" s="12"/>
      <c r="E1" s="12"/>
    </row>
    <row r="3" spans="1:5" x14ac:dyDescent="0.3">
      <c r="A3" s="5" t="s">
        <v>192</v>
      </c>
      <c r="B3" s="5" t="s">
        <v>193</v>
      </c>
      <c r="C3" s="5" t="s">
        <v>194</v>
      </c>
      <c r="D3" s="5" t="s">
        <v>195</v>
      </c>
      <c r="E3" s="5" t="s">
        <v>155</v>
      </c>
    </row>
    <row r="4" spans="1:5" x14ac:dyDescent="0.3">
      <c r="A4" s="5" t="s">
        <v>196</v>
      </c>
      <c r="B4" s="5" t="s">
        <v>197</v>
      </c>
      <c r="C4" s="30">
        <v>46800</v>
      </c>
      <c r="D4" s="5">
        <v>563</v>
      </c>
      <c r="E4" s="30">
        <f>C4*D4</f>
        <v>26348400</v>
      </c>
    </row>
    <row r="5" spans="1:5" x14ac:dyDescent="0.3">
      <c r="A5" s="5" t="s">
        <v>198</v>
      </c>
      <c r="B5" s="5" t="s">
        <v>199</v>
      </c>
      <c r="C5" s="30">
        <v>31500</v>
      </c>
      <c r="D5" s="5">
        <v>425</v>
      </c>
      <c r="E5" s="30">
        <f t="shared" ref="E5:E11" si="0">C5*D5</f>
        <v>13387500</v>
      </c>
    </row>
    <row r="6" spans="1:5" x14ac:dyDescent="0.3">
      <c r="A6" s="5" t="s">
        <v>200</v>
      </c>
      <c r="B6" s="5" t="s">
        <v>199</v>
      </c>
      <c r="C6" s="30">
        <v>43800</v>
      </c>
      <c r="D6" s="5">
        <v>152</v>
      </c>
      <c r="E6" s="30">
        <f t="shared" si="0"/>
        <v>6657600</v>
      </c>
    </row>
    <row r="7" spans="1:5" x14ac:dyDescent="0.3">
      <c r="A7" s="5" t="s">
        <v>201</v>
      </c>
      <c r="B7" s="5" t="s">
        <v>202</v>
      </c>
      <c r="C7" s="30">
        <v>31700</v>
      </c>
      <c r="D7" s="5">
        <v>95</v>
      </c>
      <c r="E7" s="30">
        <f t="shared" si="0"/>
        <v>3011500</v>
      </c>
    </row>
    <row r="8" spans="1:5" x14ac:dyDescent="0.3">
      <c r="A8" s="5" t="s">
        <v>203</v>
      </c>
      <c r="B8" s="5" t="s">
        <v>197</v>
      </c>
      <c r="C8" s="30">
        <v>39900</v>
      </c>
      <c r="D8" s="5">
        <v>357</v>
      </c>
      <c r="E8" s="30">
        <f t="shared" si="0"/>
        <v>14244300</v>
      </c>
    </row>
    <row r="9" spans="1:5" x14ac:dyDescent="0.3">
      <c r="A9" s="5" t="s">
        <v>204</v>
      </c>
      <c r="B9" s="5" t="s">
        <v>205</v>
      </c>
      <c r="C9" s="30">
        <v>27400</v>
      </c>
      <c r="D9" s="5">
        <v>392</v>
      </c>
      <c r="E9" s="30">
        <f t="shared" si="0"/>
        <v>10740800</v>
      </c>
    </row>
    <row r="10" spans="1:5" x14ac:dyDescent="0.3">
      <c r="A10" s="5" t="s">
        <v>206</v>
      </c>
      <c r="B10" s="5" t="s">
        <v>199</v>
      </c>
      <c r="C10" s="30">
        <v>30600</v>
      </c>
      <c r="D10" s="5">
        <v>246</v>
      </c>
      <c r="E10" s="30">
        <f t="shared" si="0"/>
        <v>7527600</v>
      </c>
    </row>
    <row r="11" spans="1:5" x14ac:dyDescent="0.3">
      <c r="A11" s="5" t="s">
        <v>207</v>
      </c>
      <c r="B11" s="5" t="s">
        <v>202</v>
      </c>
      <c r="C11" s="30">
        <v>26400</v>
      </c>
      <c r="D11" s="5">
        <v>135</v>
      </c>
      <c r="E11" s="30">
        <f t="shared" si="0"/>
        <v>3564000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통화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E9"/>
  <sheetViews>
    <sheetView workbookViewId="0">
      <selection sqref="A1:E1"/>
    </sheetView>
  </sheetViews>
  <sheetFormatPr defaultRowHeight="16.5" x14ac:dyDescent="0.3"/>
  <sheetData>
    <row r="1" spans="1:5" ht="20.25" x14ac:dyDescent="0.3">
      <c r="A1" s="12" t="s">
        <v>139</v>
      </c>
      <c r="B1" s="12"/>
      <c r="C1" s="12"/>
      <c r="D1" s="12"/>
      <c r="E1" s="12"/>
    </row>
    <row r="3" spans="1:5" x14ac:dyDescent="0.3">
      <c r="A3" s="5" t="s">
        <v>140</v>
      </c>
      <c r="B3" s="5" t="s">
        <v>141</v>
      </c>
      <c r="C3" s="5" t="s">
        <v>142</v>
      </c>
      <c r="D3" s="5" t="s">
        <v>143</v>
      </c>
      <c r="E3" s="5" t="s">
        <v>98</v>
      </c>
    </row>
    <row r="4" spans="1:5" x14ac:dyDescent="0.3">
      <c r="A4" s="5" t="s">
        <v>144</v>
      </c>
      <c r="B4" s="5">
        <v>83</v>
      </c>
      <c r="C4" s="5">
        <v>73</v>
      </c>
      <c r="D4" s="5">
        <v>84</v>
      </c>
      <c r="E4" s="5">
        <v>80</v>
      </c>
    </row>
    <row r="5" spans="1:5" x14ac:dyDescent="0.3">
      <c r="A5" s="5" t="s">
        <v>145</v>
      </c>
      <c r="B5" s="5">
        <v>40</v>
      </c>
      <c r="C5" s="5">
        <v>45</v>
      </c>
      <c r="D5" s="5">
        <v>44</v>
      </c>
      <c r="E5" s="5">
        <v>43</v>
      </c>
    </row>
    <row r="6" spans="1:5" x14ac:dyDescent="0.3">
      <c r="A6" s="5" t="s">
        <v>146</v>
      </c>
      <c r="B6" s="5">
        <v>37</v>
      </c>
      <c r="C6" s="5">
        <v>33</v>
      </c>
      <c r="D6" s="5">
        <v>38</v>
      </c>
      <c r="E6" s="5">
        <v>36</v>
      </c>
    </row>
    <row r="7" spans="1:5" x14ac:dyDescent="0.3">
      <c r="A7" s="5" t="s">
        <v>147</v>
      </c>
      <c r="B7" s="5">
        <v>44</v>
      </c>
      <c r="C7" s="5">
        <v>40</v>
      </c>
      <c r="D7" s="5">
        <v>42</v>
      </c>
      <c r="E7" s="5">
        <v>42</v>
      </c>
    </row>
    <row r="8" spans="1:5" x14ac:dyDescent="0.3">
      <c r="A8" s="5" t="s">
        <v>148</v>
      </c>
      <c r="B8" s="5">
        <v>72</v>
      </c>
      <c r="C8" s="5">
        <v>70</v>
      </c>
      <c r="D8" s="5">
        <v>65</v>
      </c>
      <c r="E8" s="5">
        <v>69</v>
      </c>
    </row>
    <row r="9" spans="1:5" x14ac:dyDescent="0.3">
      <c r="A9" s="5" t="s">
        <v>149</v>
      </c>
      <c r="B9" s="5">
        <v>73</v>
      </c>
      <c r="C9" s="5">
        <v>71</v>
      </c>
      <c r="D9" s="5">
        <v>78</v>
      </c>
      <c r="E9" s="5">
        <v>74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지역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2023-04-27T08:01:32Z</dcterms:created>
  <dcterms:modified xsi:type="dcterms:W3CDTF">2023-05-04T09:02:09Z</dcterms:modified>
</cp:coreProperties>
</file>