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기출\"/>
    </mc:Choice>
  </mc:AlternateContent>
  <xr:revisionPtr revIDLastSave="0" documentId="13_ncr:1_{A5A7BF0A-8FC7-4AD0-B250-3047D975F437}" xr6:coauthVersionLast="47" xr6:coauthVersionMax="47" xr10:uidLastSave="{00000000-0000-0000-0000-000000000000}"/>
  <bookViews>
    <workbookView xWindow="-120" yWindow="-120" windowWidth="29040" windowHeight="159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6" r:id="rId6"/>
    <sheet name="매크로작업" sheetId="7" r:id="rId7"/>
    <sheet name="차트작업" sheetId="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8" l="1"/>
  <c r="H6" i="8"/>
  <c r="H7" i="8"/>
  <c r="H8" i="8"/>
  <c r="H9" i="8"/>
  <c r="H10" i="8"/>
  <c r="H11" i="8"/>
  <c r="H12" i="8"/>
  <c r="H13" i="8"/>
  <c r="H14" i="8"/>
  <c r="H4" i="8"/>
  <c r="G5" i="8"/>
  <c r="G6" i="8"/>
  <c r="G7" i="8"/>
  <c r="G8" i="8"/>
  <c r="G9" i="8"/>
  <c r="G10" i="8"/>
  <c r="G11" i="8"/>
  <c r="G12" i="8"/>
  <c r="G13" i="8"/>
  <c r="G14" i="8"/>
  <c r="G4" i="8"/>
  <c r="G5" i="6" l="1"/>
  <c r="G6" i="6"/>
  <c r="G7" i="6"/>
  <c r="G8" i="6"/>
  <c r="G9" i="6"/>
  <c r="G10" i="6"/>
  <c r="G11" i="6"/>
  <c r="G12" i="6"/>
  <c r="G4" i="6"/>
</calcChain>
</file>

<file path=xl/sharedStrings.xml><?xml version="1.0" encoding="utf-8"?>
<sst xmlns="http://schemas.openxmlformats.org/spreadsheetml/2006/main" count="238" uniqueCount="185">
  <si>
    <t>가전제품 입고 현황</t>
    <phoneticPr fontId="1" type="noConversion"/>
  </si>
  <si>
    <t>[표1]</t>
  </si>
  <si>
    <t>승진 시험 결과</t>
  </si>
  <si>
    <t>사원명</t>
  </si>
  <si>
    <t>외국어</t>
  </si>
  <si>
    <t>이론</t>
  </si>
  <si>
    <t>총점</t>
  </si>
  <si>
    <t>권영일</t>
  </si>
  <si>
    <t>이규창</t>
  </si>
  <si>
    <t>김정아</t>
  </si>
  <si>
    <t>이진희</t>
  </si>
  <si>
    <t>한세영</t>
  </si>
  <si>
    <t>장석영</t>
  </si>
  <si>
    <t>윤소정</t>
  </si>
  <si>
    <t>신선부</t>
  </si>
  <si>
    <t>비율</t>
  </si>
  <si>
    <t>[표2]</t>
  </si>
  <si>
    <t>종목별 시험 일정표</t>
  </si>
  <si>
    <t>종목</t>
  </si>
  <si>
    <t>시험일자</t>
  </si>
  <si>
    <t>구분</t>
  </si>
  <si>
    <t>정보처리</t>
  </si>
  <si>
    <t>사무자동화</t>
  </si>
  <si>
    <t>에너지관리</t>
  </si>
  <si>
    <t>전기</t>
  </si>
  <si>
    <t>자동차정비</t>
  </si>
  <si>
    <t>건설기계</t>
  </si>
  <si>
    <t>토목</t>
  </si>
  <si>
    <t>정보관리</t>
  </si>
  <si>
    <t>한식조리</t>
  </si>
  <si>
    <t>[표3]</t>
  </si>
  <si>
    <t>사원 관리 현황</t>
  </si>
  <si>
    <t>[표4]</t>
  </si>
  <si>
    <t>사원별 실적 현황</t>
  </si>
  <si>
    <t>입사년도</t>
  </si>
  <si>
    <t>임시코드</t>
  </si>
  <si>
    <t>지점</t>
  </si>
  <si>
    <t>사원코드</t>
  </si>
  <si>
    <t>판매량</t>
  </si>
  <si>
    <t>평가</t>
  </si>
  <si>
    <t>홍명찬</t>
  </si>
  <si>
    <t>pro535k</t>
  </si>
  <si>
    <t>서울</t>
  </si>
  <si>
    <t>SG-1245</t>
  </si>
  <si>
    <t>서혜진</t>
  </si>
  <si>
    <t>pla321d</t>
  </si>
  <si>
    <t>부산</t>
  </si>
  <si>
    <t>SG-6782</t>
  </si>
  <si>
    <t>양세완</t>
  </si>
  <si>
    <t>bck220a</t>
  </si>
  <si>
    <t>SG-2401</t>
  </si>
  <si>
    <t>유도원</t>
  </si>
  <si>
    <t>iuf035e</t>
  </si>
  <si>
    <t>제주</t>
  </si>
  <si>
    <t>SG-3844</t>
  </si>
  <si>
    <t>최윤희</t>
  </si>
  <si>
    <t>fvh693p</t>
  </si>
  <si>
    <t>SG-1059</t>
  </si>
  <si>
    <t>허현주</t>
  </si>
  <si>
    <t>ncr722u</t>
  </si>
  <si>
    <t>SG-2574</t>
  </si>
  <si>
    <t>한세호</t>
  </si>
  <si>
    <t>blc269y</t>
  </si>
  <si>
    <t>SG-3322</t>
  </si>
  <si>
    <t>노재연</t>
  </si>
  <si>
    <t>nto484l</t>
  </si>
  <si>
    <t>SG-6091</t>
  </si>
  <si>
    <t>[표5]</t>
  </si>
  <si>
    <t>심사 결과표</t>
  </si>
  <si>
    <t>참가번호</t>
  </si>
  <si>
    <t>1차</t>
  </si>
  <si>
    <t>2차</t>
  </si>
  <si>
    <t>3차</t>
  </si>
  <si>
    <t>4차</t>
  </si>
  <si>
    <t>5차</t>
  </si>
  <si>
    <t>평균</t>
  </si>
  <si>
    <t>A12301</t>
  </si>
  <si>
    <t>A12302</t>
  </si>
  <si>
    <t>A12303</t>
  </si>
  <si>
    <t>A12304</t>
  </si>
  <si>
    <t>A12305</t>
  </si>
  <si>
    <t>A12306</t>
  </si>
  <si>
    <t>A12307</t>
  </si>
  <si>
    <t>A12308</t>
  </si>
  <si>
    <t>A12309</t>
  </si>
  <si>
    <t>지역별 봄꽃 개화시기</t>
  </si>
  <si>
    <t>꽃</t>
  </si>
  <si>
    <t>지역</t>
  </si>
  <si>
    <t>2022년</t>
  </si>
  <si>
    <t>2023년</t>
  </si>
  <si>
    <t>평년차</t>
  </si>
  <si>
    <t>개나리</t>
  </si>
  <si>
    <t>강릉</t>
  </si>
  <si>
    <t>여수</t>
  </si>
  <si>
    <t>진달래</t>
  </si>
  <si>
    <t>벚꽃</t>
  </si>
  <si>
    <t>항공기 운영 현황</t>
    <phoneticPr fontId="1" type="noConversion"/>
  </si>
  <si>
    <t>국가</t>
  </si>
  <si>
    <t>방문자수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</si>
  <si>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</si>
  <si>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</si>
  <si>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</si>
  <si>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</si>
  <si>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</si>
  <si>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</si>
  <si>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</si>
  <si>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</si>
  <si>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</si>
  <si>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</si>
  <si>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</si>
  <si>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</si>
  <si>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</si>
  <si>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</si>
  <si>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</si>
  <si>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</si>
  <si>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</si>
  <si>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상공스포츠센터 강습인원 현황</t>
    <phoneticPr fontId="1" type="noConversion"/>
  </si>
  <si>
    <t>프로그램</t>
  </si>
  <si>
    <t>4월</t>
  </si>
  <si>
    <t>5월</t>
  </si>
  <si>
    <t>6월</t>
  </si>
  <si>
    <t>수영</t>
  </si>
  <si>
    <t>골프</t>
  </si>
  <si>
    <t>테니스</t>
  </si>
  <si>
    <t>볼링</t>
  </si>
  <si>
    <t>배드민턴</t>
  </si>
  <si>
    <t>탁구</t>
  </si>
  <si>
    <t>와인 판매 현황</t>
    <phoneticPr fontId="1" type="noConversion"/>
  </si>
  <si>
    <t>품명</t>
  </si>
  <si>
    <t>생산지</t>
  </si>
  <si>
    <t>수입총액</t>
  </si>
  <si>
    <t>판매가</t>
  </si>
  <si>
    <t>판매총액</t>
  </si>
  <si>
    <t>이익</t>
  </si>
  <si>
    <t>화이트</t>
  </si>
  <si>
    <t>고스트파인</t>
  </si>
  <si>
    <t>레드</t>
  </si>
  <si>
    <t>토마이시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</si>
  <si>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</si>
  <si>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</si>
  <si>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</si>
  <si>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</si>
  <si>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</si>
  <si>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</si>
  <si>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</si>
  <si>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</si>
  <si>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</si>
  <si>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</si>
  <si>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</si>
  <si>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승진 시험 결과</t>
    <phoneticPr fontId="1" type="noConversion"/>
  </si>
  <si>
    <t>이름</t>
  </si>
  <si>
    <t>부서명</t>
  </si>
  <si>
    <t>업무수행</t>
  </si>
  <si>
    <t>영어</t>
  </si>
  <si>
    <t>전산이론</t>
  </si>
  <si>
    <t>전산실기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</si>
  <si>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</si>
  <si>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</si>
  <si>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</si>
  <si>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</si>
  <si>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</si>
  <si>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</si>
  <si>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</si>
  <si>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</si>
  <si>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</si>
  <si>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</si>
  <si>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</si>
  <si>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</si>
  <si>
    <t>상공김치 판매 현황</t>
    <phoneticPr fontId="1" type="noConversion"/>
  </si>
  <si>
    <t>상품명</t>
  </si>
  <si>
    <t>단위</t>
  </si>
  <si>
    <t>판매가격</t>
  </si>
  <si>
    <t>판매수량</t>
  </si>
  <si>
    <t>포기김치</t>
  </si>
  <si>
    <t>5kg</t>
  </si>
  <si>
    <t>깍두기</t>
  </si>
  <si>
    <t>3kg</t>
  </si>
  <si>
    <t>갓김치</t>
  </si>
  <si>
    <t>나박김치</t>
  </si>
  <si>
    <t>3.6kg</t>
  </si>
  <si>
    <t>총각김치</t>
  </si>
  <si>
    <t>열무김치</t>
  </si>
  <si>
    <t>2.5kg</t>
  </si>
  <si>
    <t>백김치</t>
  </si>
  <si>
    <t>물김치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</si>
</sst>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6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4월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83</c:v>
                </c:pt>
                <c:pt idx="1">
                  <c:v>40</c:v>
                </c:pt>
                <c:pt idx="2">
                  <c:v>37</c:v>
                </c:pt>
                <c:pt idx="3">
                  <c:v>44</c:v>
                </c:pt>
                <c:pt idx="4">
                  <c:v>72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3-4D8A-AAAB-5D8CF98B5668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5월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73</c:v>
                </c:pt>
                <c:pt idx="1">
                  <c:v>45</c:v>
                </c:pt>
                <c:pt idx="2">
                  <c:v>33</c:v>
                </c:pt>
                <c:pt idx="3">
                  <c:v>40</c:v>
                </c:pt>
                <c:pt idx="4">
                  <c:v>70</c:v>
                </c:pt>
                <c:pt idx="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E3-4D8A-AAAB-5D8CF98B5668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6월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84</c:v>
                </c:pt>
                <c:pt idx="1">
                  <c:v>44</c:v>
                </c:pt>
                <c:pt idx="2">
                  <c:v>38</c:v>
                </c:pt>
                <c:pt idx="3">
                  <c:v>42</c:v>
                </c:pt>
                <c:pt idx="4">
                  <c:v>65</c:v>
                </c:pt>
                <c:pt idx="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E3-4D8A-AAAB-5D8CF98B5668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80</c:v>
                </c:pt>
                <c:pt idx="1">
                  <c:v>43</c:v>
                </c:pt>
                <c:pt idx="2">
                  <c:v>36</c:v>
                </c:pt>
                <c:pt idx="3">
                  <c:v>42</c:v>
                </c:pt>
                <c:pt idx="4">
                  <c:v>69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3-4D8A-AAAB-5D8CF98B5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686464"/>
        <c:axId val="905689344"/>
      </c:lineChart>
      <c:catAx>
        <c:axId val="90568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5689344"/>
        <c:crosses val="autoZero"/>
        <c:auto val="1"/>
        <c:lblAlgn val="ctr"/>
        <c:lblOffset val="100"/>
        <c:noMultiLvlLbl val="0"/>
      </c:catAx>
      <c:valAx>
        <c:axId val="9056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568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4766F45-64D0-679C-783A-F52E5C987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9"/>
  <sheetViews>
    <sheetView tabSelected="1" workbookViewId="0"/>
  </sheetViews>
  <sheetFormatPr defaultRowHeight="16.5" x14ac:dyDescent="0.3"/>
  <cols>
    <col min="1" max="1" width="15.125" bestFit="1" customWidth="1"/>
    <col min="4" max="4" width="10.875" bestFit="1" customWidth="1"/>
  </cols>
  <sheetData>
    <row r="1" spans="1:5" x14ac:dyDescent="0.3">
      <c r="A1" t="s">
        <v>0</v>
      </c>
    </row>
    <row r="3" spans="1:5" x14ac:dyDescent="0.3">
      <c r="A3" s="1"/>
      <c r="B3" s="1"/>
      <c r="C3" s="1"/>
      <c r="D3" s="1"/>
      <c r="E3" s="1"/>
    </row>
    <row r="4" spans="1:5" x14ac:dyDescent="0.3">
      <c r="A4" s="1"/>
      <c r="B4" s="1"/>
      <c r="C4" s="1"/>
      <c r="D4" s="2"/>
      <c r="E4" s="1"/>
    </row>
    <row r="5" spans="1:5" x14ac:dyDescent="0.3">
      <c r="A5" s="1"/>
      <c r="B5" s="1"/>
      <c r="C5" s="1"/>
      <c r="D5" s="2"/>
      <c r="E5" s="1"/>
    </row>
    <row r="6" spans="1:5" x14ac:dyDescent="0.3">
      <c r="A6" s="1"/>
      <c r="B6" s="1"/>
      <c r="C6" s="1"/>
      <c r="D6" s="2"/>
      <c r="E6" s="1"/>
    </row>
    <row r="7" spans="1:5" x14ac:dyDescent="0.3">
      <c r="A7" s="1"/>
      <c r="B7" s="1"/>
      <c r="C7" s="1"/>
      <c r="D7" s="2"/>
      <c r="E7" s="1"/>
    </row>
    <row r="8" spans="1:5" x14ac:dyDescent="0.3">
      <c r="A8" s="1"/>
      <c r="B8" s="1"/>
      <c r="C8" s="1"/>
      <c r="D8" s="2"/>
      <c r="E8" s="1"/>
    </row>
    <row r="9" spans="1:5" x14ac:dyDescent="0.3">
      <c r="A9" s="1"/>
      <c r="B9" s="1"/>
      <c r="C9" s="1"/>
      <c r="D9" s="2"/>
      <c r="E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E15"/>
  <sheetViews>
    <sheetView workbookViewId="0"/>
  </sheetViews>
  <sheetFormatPr defaultRowHeight="16.5" x14ac:dyDescent="0.3"/>
  <cols>
    <col min="3" max="4" width="11.125" bestFit="1" customWidth="1"/>
  </cols>
  <sheetData>
    <row r="1" spans="1:5" x14ac:dyDescent="0.3">
      <c r="A1" t="s">
        <v>85</v>
      </c>
    </row>
    <row r="3" spans="1:5" x14ac:dyDescent="0.3">
      <c r="A3" s="1" t="s">
        <v>86</v>
      </c>
      <c r="B3" s="1" t="s">
        <v>87</v>
      </c>
      <c r="C3" s="1" t="s">
        <v>88</v>
      </c>
      <c r="D3" s="1" t="s">
        <v>89</v>
      </c>
      <c r="E3" s="1" t="s">
        <v>90</v>
      </c>
    </row>
    <row r="4" spans="1:5" x14ac:dyDescent="0.3">
      <c r="A4" t="s">
        <v>91</v>
      </c>
      <c r="B4" s="1" t="s">
        <v>92</v>
      </c>
      <c r="C4" s="10">
        <v>45006</v>
      </c>
      <c r="D4" s="10">
        <v>45010</v>
      </c>
      <c r="E4" s="1">
        <v>4</v>
      </c>
    </row>
    <row r="5" spans="1:5" x14ac:dyDescent="0.3">
      <c r="B5" s="1" t="s">
        <v>42</v>
      </c>
      <c r="C5" s="10">
        <v>45010</v>
      </c>
      <c r="D5" s="10">
        <v>45013</v>
      </c>
      <c r="E5" s="1">
        <v>3</v>
      </c>
    </row>
    <row r="6" spans="1:5" x14ac:dyDescent="0.3">
      <c r="B6" s="1" t="s">
        <v>93</v>
      </c>
      <c r="C6" s="10">
        <v>45005</v>
      </c>
      <c r="D6" s="10">
        <v>45008</v>
      </c>
      <c r="E6" s="1">
        <v>3</v>
      </c>
    </row>
    <row r="7" spans="1:5" x14ac:dyDescent="0.3">
      <c r="B7" s="1" t="s">
        <v>46</v>
      </c>
      <c r="C7" s="10">
        <v>45001</v>
      </c>
      <c r="D7" s="10">
        <v>45002</v>
      </c>
      <c r="E7" s="1">
        <v>1</v>
      </c>
    </row>
    <row r="8" spans="1:5" x14ac:dyDescent="0.3">
      <c r="A8" t="s">
        <v>94</v>
      </c>
      <c r="B8" s="1" t="s">
        <v>92</v>
      </c>
      <c r="C8" s="10">
        <v>45008</v>
      </c>
      <c r="D8" s="10">
        <v>45013</v>
      </c>
      <c r="E8" s="1">
        <v>5</v>
      </c>
    </row>
    <row r="9" spans="1:5" x14ac:dyDescent="0.3">
      <c r="B9" s="1" t="s">
        <v>42</v>
      </c>
      <c r="C9" s="10">
        <v>45008</v>
      </c>
      <c r="D9" s="10">
        <v>45014</v>
      </c>
      <c r="E9" s="1">
        <v>6</v>
      </c>
    </row>
    <row r="10" spans="1:5" x14ac:dyDescent="0.3">
      <c r="B10" s="1" t="s">
        <v>93</v>
      </c>
      <c r="C10" s="10">
        <v>45001</v>
      </c>
      <c r="D10" s="10">
        <v>45005</v>
      </c>
      <c r="E10" s="1">
        <v>4</v>
      </c>
    </row>
    <row r="11" spans="1:5" x14ac:dyDescent="0.3">
      <c r="B11" s="1" t="s">
        <v>46</v>
      </c>
      <c r="C11" s="10">
        <v>45003</v>
      </c>
      <c r="D11" s="10">
        <v>45004</v>
      </c>
      <c r="E11" s="1">
        <v>1</v>
      </c>
    </row>
    <row r="12" spans="1:5" x14ac:dyDescent="0.3">
      <c r="A12" t="s">
        <v>95</v>
      </c>
      <c r="B12" s="1" t="s">
        <v>92</v>
      </c>
      <c r="C12" s="10">
        <v>45016</v>
      </c>
      <c r="D12" s="10">
        <v>45020</v>
      </c>
      <c r="E12" s="1">
        <v>4</v>
      </c>
    </row>
    <row r="13" spans="1:5" x14ac:dyDescent="0.3">
      <c r="B13" s="1" t="s">
        <v>42</v>
      </c>
      <c r="C13" s="10">
        <v>45019</v>
      </c>
      <c r="D13" s="10">
        <v>45024</v>
      </c>
      <c r="E13" s="1">
        <v>5</v>
      </c>
    </row>
    <row r="14" spans="1:5" x14ac:dyDescent="0.3">
      <c r="B14" s="1" t="s">
        <v>93</v>
      </c>
      <c r="C14" s="10">
        <v>45014</v>
      </c>
      <c r="D14" s="10">
        <v>45016</v>
      </c>
      <c r="E14" s="1">
        <v>2</v>
      </c>
    </row>
    <row r="15" spans="1:5" x14ac:dyDescent="0.3">
      <c r="B15" s="1" t="s">
        <v>46</v>
      </c>
      <c r="C15" s="10">
        <v>45007</v>
      </c>
      <c r="D15" s="10">
        <v>45009</v>
      </c>
      <c r="E15" s="1">
        <v>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F20"/>
  <sheetViews>
    <sheetView workbookViewId="0">
      <selection sqref="A1:F1"/>
    </sheetView>
  </sheetViews>
  <sheetFormatPr defaultRowHeight="16.5" x14ac:dyDescent="0.3"/>
  <cols>
    <col min="1" max="1" width="11.875" customWidth="1"/>
    <col min="2" max="2" width="10.625" customWidth="1"/>
    <col min="3" max="5" width="11.875" bestFit="1" customWidth="1"/>
  </cols>
  <sheetData>
    <row r="1" spans="1:6" ht="20.25" x14ac:dyDescent="0.3">
      <c r="A1" s="14" t="s">
        <v>96</v>
      </c>
      <c r="B1" s="14"/>
      <c r="C1" s="14"/>
      <c r="D1" s="14"/>
      <c r="E1" s="14"/>
      <c r="F1" s="14"/>
    </row>
    <row r="3" spans="1:6" x14ac:dyDescent="0.3">
      <c r="A3" s="5" t="s">
        <v>97</v>
      </c>
      <c r="B3" s="5" t="s">
        <v>98</v>
      </c>
      <c r="C3" s="5" t="s">
        <v>99</v>
      </c>
      <c r="D3" s="5" t="s">
        <v>100</v>
      </c>
      <c r="E3" s="5" t="s">
        <v>101</v>
      </c>
      <c r="F3" s="5" t="s">
        <v>102</v>
      </c>
    </row>
    <row r="4" spans="1:6" x14ac:dyDescent="0.3">
      <c r="A4" s="5" t="s">
        <v>103</v>
      </c>
      <c r="B4" s="11">
        <v>135211</v>
      </c>
      <c r="C4" s="11">
        <v>18240000</v>
      </c>
      <c r="D4" s="11">
        <v>77070000</v>
      </c>
      <c r="E4" s="11">
        <v>12330000</v>
      </c>
      <c r="F4" s="5"/>
    </row>
    <row r="5" spans="1:6" x14ac:dyDescent="0.3">
      <c r="A5" s="5" t="s">
        <v>104</v>
      </c>
      <c r="B5" s="11">
        <v>96854</v>
      </c>
      <c r="C5" s="11">
        <v>9240000</v>
      </c>
      <c r="D5" s="11">
        <v>55210000</v>
      </c>
      <c r="E5" s="11">
        <v>8830000</v>
      </c>
      <c r="F5" s="5"/>
    </row>
    <row r="6" spans="1:6" x14ac:dyDescent="0.3">
      <c r="A6" s="5" t="s">
        <v>105</v>
      </c>
      <c r="B6" s="11">
        <v>112547</v>
      </c>
      <c r="C6" s="11">
        <v>14400000</v>
      </c>
      <c r="D6" s="11">
        <v>64150000</v>
      </c>
      <c r="E6" s="11">
        <v>10260000</v>
      </c>
      <c r="F6" s="5" t="s">
        <v>106</v>
      </c>
    </row>
    <row r="7" spans="1:6" x14ac:dyDescent="0.3">
      <c r="A7" s="5" t="s">
        <v>107</v>
      </c>
      <c r="B7" s="11">
        <v>88614</v>
      </c>
      <c r="C7" s="11">
        <v>8710000</v>
      </c>
      <c r="D7" s="11">
        <v>50510000</v>
      </c>
      <c r="E7" s="11">
        <v>8080000</v>
      </c>
      <c r="F7" s="5"/>
    </row>
    <row r="8" spans="1:6" x14ac:dyDescent="0.3">
      <c r="A8" s="5" t="s">
        <v>108</v>
      </c>
      <c r="B8" s="11">
        <v>76200</v>
      </c>
      <c r="C8" s="11">
        <v>6250000</v>
      </c>
      <c r="D8" s="11">
        <v>43430000</v>
      </c>
      <c r="E8" s="11">
        <v>6950000</v>
      </c>
      <c r="F8" s="5"/>
    </row>
    <row r="9" spans="1:6" x14ac:dyDescent="0.3">
      <c r="A9" s="5" t="s">
        <v>109</v>
      </c>
      <c r="B9" s="11">
        <v>96726</v>
      </c>
      <c r="C9" s="11">
        <v>10950000</v>
      </c>
      <c r="D9" s="11">
        <v>55130000</v>
      </c>
      <c r="E9" s="11">
        <v>8820000</v>
      </c>
      <c r="F9" s="5" t="s">
        <v>106</v>
      </c>
    </row>
    <row r="10" spans="1:6" x14ac:dyDescent="0.3">
      <c r="A10" s="5" t="s">
        <v>110</v>
      </c>
      <c r="B10" s="11">
        <v>83671</v>
      </c>
      <c r="C10" s="11">
        <v>9120000</v>
      </c>
      <c r="D10" s="11">
        <v>47690000</v>
      </c>
      <c r="E10" s="11">
        <v>7630000</v>
      </c>
      <c r="F10" s="5"/>
    </row>
    <row r="11" spans="1:6" x14ac:dyDescent="0.3">
      <c r="A11" s="5" t="s">
        <v>111</v>
      </c>
      <c r="B11" s="11">
        <v>154789</v>
      </c>
      <c r="C11" s="11">
        <v>16400000</v>
      </c>
      <c r="D11" s="11">
        <v>88230000</v>
      </c>
      <c r="E11" s="11">
        <v>14120000</v>
      </c>
      <c r="F11" s="5"/>
    </row>
    <row r="12" spans="1:6" x14ac:dyDescent="0.3">
      <c r="A12" s="5" t="s">
        <v>112</v>
      </c>
      <c r="B12" s="11">
        <v>160643</v>
      </c>
      <c r="C12" s="11">
        <v>17620000</v>
      </c>
      <c r="D12" s="11">
        <v>91570000</v>
      </c>
      <c r="E12" s="11">
        <v>14650000</v>
      </c>
      <c r="F12" s="5" t="s">
        <v>106</v>
      </c>
    </row>
    <row r="13" spans="1:6" x14ac:dyDescent="0.3">
      <c r="A13" s="5" t="s">
        <v>113</v>
      </c>
      <c r="B13" s="11">
        <v>126755</v>
      </c>
      <c r="C13" s="11">
        <v>16840000</v>
      </c>
      <c r="D13" s="11">
        <v>72250000</v>
      </c>
      <c r="E13" s="11">
        <v>11560000</v>
      </c>
      <c r="F13" s="5"/>
    </row>
    <row r="14" spans="1:6" x14ac:dyDescent="0.3">
      <c r="A14" s="5" t="s">
        <v>114</v>
      </c>
      <c r="B14" s="11">
        <v>76925</v>
      </c>
      <c r="C14" s="11">
        <v>9600000</v>
      </c>
      <c r="D14" s="11">
        <v>43850000</v>
      </c>
      <c r="E14" s="11">
        <v>7020000</v>
      </c>
      <c r="F14" s="5" t="s">
        <v>106</v>
      </c>
    </row>
    <row r="15" spans="1:6" x14ac:dyDescent="0.3">
      <c r="A15" s="5" t="s">
        <v>115</v>
      </c>
      <c r="B15" s="11">
        <v>139574</v>
      </c>
      <c r="C15" s="11">
        <v>16520000</v>
      </c>
      <c r="D15" s="11">
        <v>79560000</v>
      </c>
      <c r="E15" s="11">
        <v>12730000</v>
      </c>
      <c r="F15" s="5"/>
    </row>
    <row r="18" spans="1:3" x14ac:dyDescent="0.3">
      <c r="A18" s="1"/>
      <c r="B18" s="1"/>
      <c r="C18" s="1"/>
    </row>
    <row r="19" spans="1:3" x14ac:dyDescent="0.3">
      <c r="A19" s="1"/>
      <c r="B19" s="1"/>
      <c r="C19" s="1"/>
    </row>
    <row r="20" spans="1:3" x14ac:dyDescent="0.3">
      <c r="A20" s="1"/>
      <c r="B20" s="1"/>
      <c r="C2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4"/>
  <sheetViews>
    <sheetView workbookViewId="0"/>
  </sheetViews>
  <sheetFormatPr defaultRowHeight="16.5" x14ac:dyDescent="0.3"/>
  <cols>
    <col min="5" max="5" width="12.375" bestFit="1" customWidth="1"/>
    <col min="6" max="6" width="11" bestFit="1" customWidth="1"/>
    <col min="7" max="7" width="11.125" bestFit="1" customWidth="1"/>
  </cols>
  <sheetData>
    <row r="1" spans="1:9" x14ac:dyDescent="0.3">
      <c r="A1" s="3" t="s">
        <v>1</v>
      </c>
      <c r="B1" s="4" t="s">
        <v>2</v>
      </c>
      <c r="F1" s="3" t="s">
        <v>16</v>
      </c>
      <c r="G1" s="4" t="s">
        <v>17</v>
      </c>
    </row>
    <row r="2" spans="1:9" x14ac:dyDescent="0.3">
      <c r="A2" s="5" t="s">
        <v>3</v>
      </c>
      <c r="B2" s="5" t="s">
        <v>4</v>
      </c>
      <c r="C2" s="5" t="s">
        <v>5</v>
      </c>
      <c r="D2" s="5" t="s">
        <v>6</v>
      </c>
      <c r="F2" s="5" t="s">
        <v>18</v>
      </c>
      <c r="G2" s="5" t="s">
        <v>19</v>
      </c>
      <c r="H2" s="8" t="s">
        <v>20</v>
      </c>
    </row>
    <row r="3" spans="1:9" x14ac:dyDescent="0.3">
      <c r="A3" s="5" t="s">
        <v>7</v>
      </c>
      <c r="B3" s="5">
        <v>86</v>
      </c>
      <c r="C3" s="5">
        <v>81</v>
      </c>
      <c r="D3" s="5">
        <v>167</v>
      </c>
      <c r="F3" s="5" t="s">
        <v>21</v>
      </c>
      <c r="G3" s="7">
        <v>44988</v>
      </c>
      <c r="H3" s="5"/>
    </row>
    <row r="4" spans="1:9" x14ac:dyDescent="0.3">
      <c r="A4" s="5" t="s">
        <v>8</v>
      </c>
      <c r="B4" s="5">
        <v>38</v>
      </c>
      <c r="C4" s="5">
        <v>42</v>
      </c>
      <c r="D4" s="5">
        <v>80</v>
      </c>
      <c r="F4" s="5" t="s">
        <v>22</v>
      </c>
      <c r="G4" s="7">
        <v>44989</v>
      </c>
      <c r="H4" s="5"/>
    </row>
    <row r="5" spans="1:9" x14ac:dyDescent="0.3">
      <c r="A5" s="5" t="s">
        <v>9</v>
      </c>
      <c r="B5" s="5">
        <v>93</v>
      </c>
      <c r="C5" s="5">
        <v>92</v>
      </c>
      <c r="D5" s="5">
        <v>185</v>
      </c>
      <c r="F5" s="5" t="s">
        <v>23</v>
      </c>
      <c r="G5" s="7">
        <v>44990</v>
      </c>
      <c r="H5" s="5"/>
    </row>
    <row r="6" spans="1:9" x14ac:dyDescent="0.3">
      <c r="A6" s="5" t="s">
        <v>10</v>
      </c>
      <c r="B6" s="5">
        <v>82</v>
      </c>
      <c r="C6" s="5">
        <v>79</v>
      </c>
      <c r="D6" s="5">
        <v>161</v>
      </c>
      <c r="F6" s="5" t="s">
        <v>24</v>
      </c>
      <c r="G6" s="7">
        <v>44995</v>
      </c>
      <c r="H6" s="5"/>
    </row>
    <row r="7" spans="1:9" x14ac:dyDescent="0.3">
      <c r="A7" s="5" t="s">
        <v>11</v>
      </c>
      <c r="B7" s="5">
        <v>74</v>
      </c>
      <c r="C7" s="5">
        <v>81</v>
      </c>
      <c r="D7" s="5">
        <v>155</v>
      </c>
      <c r="F7" s="5" t="s">
        <v>25</v>
      </c>
      <c r="G7" s="7">
        <v>44996</v>
      </c>
      <c r="H7" s="5"/>
    </row>
    <row r="8" spans="1:9" x14ac:dyDescent="0.3">
      <c r="A8" s="5" t="s">
        <v>12</v>
      </c>
      <c r="B8" s="5">
        <v>92</v>
      </c>
      <c r="C8" s="5">
        <v>95</v>
      </c>
      <c r="D8" s="5">
        <v>187</v>
      </c>
      <c r="F8" s="5" t="s">
        <v>26</v>
      </c>
      <c r="G8" s="7">
        <v>44997</v>
      </c>
      <c r="H8" s="5"/>
    </row>
    <row r="9" spans="1:9" x14ac:dyDescent="0.3">
      <c r="A9" s="5" t="s">
        <v>13</v>
      </c>
      <c r="B9" s="5">
        <v>69</v>
      </c>
      <c r="C9" s="5">
        <v>68</v>
      </c>
      <c r="D9" s="5">
        <v>137</v>
      </c>
      <c r="F9" s="5" t="s">
        <v>27</v>
      </c>
      <c r="G9" s="7">
        <v>45003</v>
      </c>
      <c r="H9" s="5"/>
    </row>
    <row r="10" spans="1:9" x14ac:dyDescent="0.3">
      <c r="A10" s="5" t="s">
        <v>14</v>
      </c>
      <c r="B10" s="5">
        <v>59</v>
      </c>
      <c r="C10" s="5">
        <v>43</v>
      </c>
      <c r="D10" s="5">
        <v>102</v>
      </c>
      <c r="F10" s="5" t="s">
        <v>28</v>
      </c>
      <c r="G10" s="7">
        <v>45004</v>
      </c>
      <c r="H10" s="5"/>
    </row>
    <row r="11" spans="1:9" x14ac:dyDescent="0.3">
      <c r="A11" s="15" t="s">
        <v>15</v>
      </c>
      <c r="B11" s="16"/>
      <c r="C11" s="17"/>
      <c r="D11" s="6"/>
      <c r="F11" s="5" t="s">
        <v>29</v>
      </c>
      <c r="G11" s="7">
        <v>45005</v>
      </c>
      <c r="H11" s="5"/>
    </row>
    <row r="13" spans="1:9" x14ac:dyDescent="0.3">
      <c r="A13" s="3" t="s">
        <v>30</v>
      </c>
      <c r="B13" s="4" t="s">
        <v>31</v>
      </c>
      <c r="G13" s="9" t="s">
        <v>32</v>
      </c>
      <c r="H13" s="4" t="s">
        <v>33</v>
      </c>
    </row>
    <row r="14" spans="1:9" x14ac:dyDescent="0.3">
      <c r="A14" s="5" t="s">
        <v>3</v>
      </c>
      <c r="B14" s="5" t="s">
        <v>34</v>
      </c>
      <c r="C14" s="5" t="s">
        <v>35</v>
      </c>
      <c r="D14" s="5" t="s">
        <v>36</v>
      </c>
      <c r="E14" s="8" t="s">
        <v>37</v>
      </c>
      <c r="G14" s="5" t="s">
        <v>37</v>
      </c>
      <c r="H14" s="5" t="s">
        <v>38</v>
      </c>
      <c r="I14" s="8" t="s">
        <v>39</v>
      </c>
    </row>
    <row r="15" spans="1:9" x14ac:dyDescent="0.3">
      <c r="A15" s="5" t="s">
        <v>40</v>
      </c>
      <c r="B15" s="5">
        <v>2020</v>
      </c>
      <c r="C15" s="5" t="s">
        <v>41</v>
      </c>
      <c r="D15" s="5" t="s">
        <v>42</v>
      </c>
      <c r="E15" s="5"/>
      <c r="G15" s="5" t="s">
        <v>43</v>
      </c>
      <c r="H15" s="11">
        <v>1253</v>
      </c>
      <c r="I15" s="5"/>
    </row>
    <row r="16" spans="1:9" x14ac:dyDescent="0.3">
      <c r="A16" s="5" t="s">
        <v>44</v>
      </c>
      <c r="B16" s="5">
        <v>2019</v>
      </c>
      <c r="C16" s="5" t="s">
        <v>45</v>
      </c>
      <c r="D16" s="5" t="s">
        <v>46</v>
      </c>
      <c r="E16" s="5"/>
      <c r="G16" s="5" t="s">
        <v>47</v>
      </c>
      <c r="H16" s="11">
        <v>1657</v>
      </c>
      <c r="I16" s="5"/>
    </row>
    <row r="17" spans="1:9" x14ac:dyDescent="0.3">
      <c r="A17" s="5" t="s">
        <v>48</v>
      </c>
      <c r="B17" s="5">
        <v>2018</v>
      </c>
      <c r="C17" s="5" t="s">
        <v>49</v>
      </c>
      <c r="D17" s="5" t="s">
        <v>42</v>
      </c>
      <c r="E17" s="5"/>
      <c r="G17" s="5" t="s">
        <v>50</v>
      </c>
      <c r="H17" s="11">
        <v>2666</v>
      </c>
      <c r="I17" s="5"/>
    </row>
    <row r="18" spans="1:9" x14ac:dyDescent="0.3">
      <c r="A18" s="5" t="s">
        <v>51</v>
      </c>
      <c r="B18" s="5">
        <v>2022</v>
      </c>
      <c r="C18" s="5" t="s">
        <v>52</v>
      </c>
      <c r="D18" s="5" t="s">
        <v>53</v>
      </c>
      <c r="E18" s="5"/>
      <c r="G18" s="5" t="s">
        <v>54</v>
      </c>
      <c r="H18" s="11">
        <v>1809</v>
      </c>
      <c r="I18" s="5"/>
    </row>
    <row r="19" spans="1:9" x14ac:dyDescent="0.3">
      <c r="A19" s="5" t="s">
        <v>55</v>
      </c>
      <c r="B19" s="5">
        <v>2021</v>
      </c>
      <c r="C19" s="5" t="s">
        <v>56</v>
      </c>
      <c r="D19" s="5" t="s">
        <v>42</v>
      </c>
      <c r="E19" s="5"/>
      <c r="G19" s="5" t="s">
        <v>57</v>
      </c>
      <c r="H19" s="11">
        <v>2468</v>
      </c>
      <c r="I19" s="5"/>
    </row>
    <row r="20" spans="1:9" x14ac:dyDescent="0.3">
      <c r="A20" s="5" t="s">
        <v>58</v>
      </c>
      <c r="B20" s="5">
        <v>2019</v>
      </c>
      <c r="C20" s="5" t="s">
        <v>59</v>
      </c>
      <c r="D20" s="5" t="s">
        <v>46</v>
      </c>
      <c r="E20" s="5"/>
      <c r="G20" s="5" t="s">
        <v>60</v>
      </c>
      <c r="H20" s="11">
        <v>2578</v>
      </c>
      <c r="I20" s="5"/>
    </row>
    <row r="21" spans="1:9" x14ac:dyDescent="0.3">
      <c r="A21" s="5" t="s">
        <v>61</v>
      </c>
      <c r="B21" s="5">
        <v>2021</v>
      </c>
      <c r="C21" s="5" t="s">
        <v>62</v>
      </c>
      <c r="D21" s="5" t="s">
        <v>53</v>
      </c>
      <c r="E21" s="5"/>
      <c r="G21" s="5" t="s">
        <v>63</v>
      </c>
      <c r="H21" s="11">
        <v>1027</v>
      </c>
      <c r="I21" s="5"/>
    </row>
    <row r="22" spans="1:9" x14ac:dyDescent="0.3">
      <c r="A22" s="5" t="s">
        <v>64</v>
      </c>
      <c r="B22" s="5">
        <v>2019</v>
      </c>
      <c r="C22" s="5" t="s">
        <v>65</v>
      </c>
      <c r="D22" s="5" t="s">
        <v>46</v>
      </c>
      <c r="E22" s="5"/>
      <c r="G22" s="5" t="s">
        <v>66</v>
      </c>
      <c r="H22" s="11">
        <v>1968</v>
      </c>
      <c r="I22" s="5"/>
    </row>
    <row r="24" spans="1:9" x14ac:dyDescent="0.3">
      <c r="A24" s="3" t="s">
        <v>67</v>
      </c>
      <c r="B24" s="4" t="s">
        <v>68</v>
      </c>
    </row>
    <row r="25" spans="1:9" x14ac:dyDescent="0.3">
      <c r="A25" s="5" t="s">
        <v>69</v>
      </c>
      <c r="B25" s="5" t="s">
        <v>70</v>
      </c>
      <c r="C25" s="5" t="s">
        <v>71</v>
      </c>
      <c r="D25" s="5" t="s">
        <v>72</v>
      </c>
      <c r="E25" s="5" t="s">
        <v>73</v>
      </c>
      <c r="F25" s="5" t="s">
        <v>74</v>
      </c>
      <c r="G25" s="8" t="s">
        <v>75</v>
      </c>
    </row>
    <row r="26" spans="1:9" x14ac:dyDescent="0.3">
      <c r="A26" s="5" t="s">
        <v>76</v>
      </c>
      <c r="B26" s="5">
        <v>86</v>
      </c>
      <c r="C26" s="5">
        <v>88</v>
      </c>
      <c r="D26" s="5">
        <v>92</v>
      </c>
      <c r="E26" s="5">
        <v>86</v>
      </c>
      <c r="F26" s="5">
        <v>90</v>
      </c>
      <c r="G26" s="5"/>
    </row>
    <row r="27" spans="1:9" x14ac:dyDescent="0.3">
      <c r="A27" s="5" t="s">
        <v>77</v>
      </c>
      <c r="B27" s="5">
        <v>92</v>
      </c>
      <c r="C27" s="5">
        <v>93</v>
      </c>
      <c r="D27" s="5">
        <v>94</v>
      </c>
      <c r="E27" s="5">
        <v>93</v>
      </c>
      <c r="F27" s="5">
        <v>94</v>
      </c>
      <c r="G27" s="5"/>
    </row>
    <row r="28" spans="1:9" x14ac:dyDescent="0.3">
      <c r="A28" s="5" t="s">
        <v>78</v>
      </c>
      <c r="B28" s="5">
        <v>94</v>
      </c>
      <c r="C28" s="5">
        <v>84</v>
      </c>
      <c r="D28" s="5">
        <v>88</v>
      </c>
      <c r="E28" s="5">
        <v>92</v>
      </c>
      <c r="F28" s="5">
        <v>90</v>
      </c>
      <c r="G28" s="5"/>
    </row>
    <row r="29" spans="1:9" x14ac:dyDescent="0.3">
      <c r="A29" s="5" t="s">
        <v>79</v>
      </c>
      <c r="B29" s="5">
        <v>79</v>
      </c>
      <c r="C29" s="5">
        <v>84</v>
      </c>
      <c r="D29" s="5">
        <v>87</v>
      </c>
      <c r="E29" s="5">
        <v>83</v>
      </c>
      <c r="F29" s="5">
        <v>85</v>
      </c>
      <c r="G29" s="5"/>
    </row>
    <row r="30" spans="1:9" x14ac:dyDescent="0.3">
      <c r="A30" s="5" t="s">
        <v>80</v>
      </c>
      <c r="B30" s="5">
        <v>82</v>
      </c>
      <c r="C30" s="5">
        <v>72</v>
      </c>
      <c r="D30" s="5">
        <v>75</v>
      </c>
      <c r="E30" s="5">
        <v>80</v>
      </c>
      <c r="F30" s="5">
        <v>76</v>
      </c>
      <c r="G30" s="5"/>
    </row>
    <row r="31" spans="1:9" x14ac:dyDescent="0.3">
      <c r="A31" s="5" t="s">
        <v>81</v>
      </c>
      <c r="B31" s="5">
        <v>69</v>
      </c>
      <c r="C31" s="5">
        <v>68</v>
      </c>
      <c r="D31" s="5">
        <v>69</v>
      </c>
      <c r="E31" s="5">
        <v>65</v>
      </c>
      <c r="F31" s="5">
        <v>60</v>
      </c>
      <c r="G31" s="5"/>
    </row>
    <row r="32" spans="1:9" x14ac:dyDescent="0.3">
      <c r="A32" s="5" t="s">
        <v>82</v>
      </c>
      <c r="B32" s="5">
        <v>77</v>
      </c>
      <c r="C32" s="5">
        <v>82</v>
      </c>
      <c r="D32" s="5">
        <v>71</v>
      </c>
      <c r="E32" s="5">
        <v>80</v>
      </c>
      <c r="F32" s="5">
        <v>75</v>
      </c>
      <c r="G32" s="5"/>
    </row>
    <row r="33" spans="1:7" x14ac:dyDescent="0.3">
      <c r="A33" s="5" t="s">
        <v>83</v>
      </c>
      <c r="B33" s="5">
        <v>82</v>
      </c>
      <c r="C33" s="5">
        <v>84</v>
      </c>
      <c r="D33" s="5">
        <v>86</v>
      </c>
      <c r="E33" s="5">
        <v>90</v>
      </c>
      <c r="F33" s="5">
        <v>84</v>
      </c>
      <c r="G33" s="5"/>
    </row>
    <row r="34" spans="1:7" x14ac:dyDescent="0.3">
      <c r="A34" s="5" t="s">
        <v>84</v>
      </c>
      <c r="B34" s="5">
        <v>93</v>
      </c>
      <c r="C34" s="5">
        <v>91</v>
      </c>
      <c r="D34" s="5">
        <v>95</v>
      </c>
      <c r="E34" s="5">
        <v>93</v>
      </c>
      <c r="F34" s="5">
        <v>95</v>
      </c>
      <c r="G34" s="5"/>
    </row>
  </sheetData>
  <mergeCells count="1">
    <mergeCell ref="A11:C1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H14"/>
  <sheetViews>
    <sheetView workbookViewId="0">
      <selection sqref="A1:H1"/>
    </sheetView>
  </sheetViews>
  <sheetFormatPr defaultRowHeight="16.5" x14ac:dyDescent="0.3"/>
  <cols>
    <col min="2" max="2" width="11" bestFit="1" customWidth="1"/>
    <col min="4" max="4" width="10.875" bestFit="1" customWidth="1"/>
    <col min="5" max="5" width="9.125" bestFit="1" customWidth="1"/>
    <col min="7" max="8" width="10.875" bestFit="1" customWidth="1"/>
  </cols>
  <sheetData>
    <row r="1" spans="1:8" ht="20.25" x14ac:dyDescent="0.3">
      <c r="A1" s="14" t="s">
        <v>127</v>
      </c>
      <c r="B1" s="14"/>
      <c r="C1" s="14"/>
      <c r="D1" s="14"/>
      <c r="E1" s="14"/>
      <c r="F1" s="14"/>
      <c r="G1" s="14"/>
      <c r="H1" s="14"/>
    </row>
    <row r="3" spans="1:8" x14ac:dyDescent="0.3">
      <c r="A3" s="5" t="s">
        <v>20</v>
      </c>
      <c r="B3" s="5" t="s">
        <v>128</v>
      </c>
      <c r="C3" s="5" t="s">
        <v>129</v>
      </c>
      <c r="D3" s="5" t="s">
        <v>130</v>
      </c>
      <c r="E3" s="5" t="s">
        <v>131</v>
      </c>
      <c r="F3" s="5" t="s">
        <v>38</v>
      </c>
      <c r="G3" s="5" t="s">
        <v>132</v>
      </c>
      <c r="H3" s="5" t="s">
        <v>133</v>
      </c>
    </row>
    <row r="4" spans="1:8" x14ac:dyDescent="0.3">
      <c r="A4" s="5" t="s">
        <v>134</v>
      </c>
      <c r="B4" s="5" t="s">
        <v>135</v>
      </c>
      <c r="C4" s="5" t="s">
        <v>103</v>
      </c>
      <c r="D4" s="11">
        <v>2640000</v>
      </c>
      <c r="E4" s="11">
        <v>19000</v>
      </c>
      <c r="F4" s="11">
        <v>211</v>
      </c>
      <c r="G4" s="11">
        <f>E4*F4</f>
        <v>4009000</v>
      </c>
      <c r="H4" s="11">
        <f>G4-D4</f>
        <v>1369000</v>
      </c>
    </row>
    <row r="5" spans="1:8" x14ac:dyDescent="0.3">
      <c r="A5" s="5" t="s">
        <v>136</v>
      </c>
      <c r="B5" s="5" t="s">
        <v>137</v>
      </c>
      <c r="C5" s="5" t="s">
        <v>109</v>
      </c>
      <c r="D5" s="11">
        <v>2880000</v>
      </c>
      <c r="E5" s="11">
        <v>19000</v>
      </c>
      <c r="F5" s="11">
        <v>222</v>
      </c>
      <c r="G5" s="11">
        <f t="shared" ref="G5:G14" si="0">E5*F5</f>
        <v>4218000</v>
      </c>
      <c r="H5" s="11">
        <f t="shared" ref="H5:H14" si="1">G5-D5</f>
        <v>1338000</v>
      </c>
    </row>
    <row r="6" spans="1:8" x14ac:dyDescent="0.3">
      <c r="A6" s="5" t="s">
        <v>138</v>
      </c>
      <c r="B6" s="5" t="s">
        <v>139</v>
      </c>
      <c r="C6" s="5" t="s">
        <v>140</v>
      </c>
      <c r="D6" s="11">
        <v>3105000</v>
      </c>
      <c r="E6" s="11">
        <v>21000</v>
      </c>
      <c r="F6" s="11">
        <v>198</v>
      </c>
      <c r="G6" s="11">
        <f t="shared" si="0"/>
        <v>4158000</v>
      </c>
      <c r="H6" s="11">
        <f t="shared" si="1"/>
        <v>1053000</v>
      </c>
    </row>
    <row r="7" spans="1:8" x14ac:dyDescent="0.3">
      <c r="A7" s="5" t="s">
        <v>136</v>
      </c>
      <c r="B7" s="5" t="s">
        <v>141</v>
      </c>
      <c r="C7" s="5" t="s">
        <v>103</v>
      </c>
      <c r="D7" s="11">
        <v>2660000</v>
      </c>
      <c r="E7" s="11">
        <v>22000</v>
      </c>
      <c r="F7" s="11">
        <v>165</v>
      </c>
      <c r="G7" s="11">
        <f t="shared" si="0"/>
        <v>3630000</v>
      </c>
      <c r="H7" s="11">
        <f t="shared" si="1"/>
        <v>970000</v>
      </c>
    </row>
    <row r="8" spans="1:8" x14ac:dyDescent="0.3">
      <c r="A8" s="5" t="s">
        <v>134</v>
      </c>
      <c r="B8" s="5" t="s">
        <v>142</v>
      </c>
      <c r="C8" s="5" t="s">
        <v>140</v>
      </c>
      <c r="D8" s="11">
        <v>2000000</v>
      </c>
      <c r="E8" s="11">
        <v>16000</v>
      </c>
      <c r="F8" s="11">
        <v>185</v>
      </c>
      <c r="G8" s="11">
        <f t="shared" si="0"/>
        <v>2960000</v>
      </c>
      <c r="H8" s="11">
        <f t="shared" si="1"/>
        <v>960000</v>
      </c>
    </row>
    <row r="9" spans="1:8" x14ac:dyDescent="0.3">
      <c r="A9" s="5" t="s">
        <v>138</v>
      </c>
      <c r="B9" s="5" t="s">
        <v>143</v>
      </c>
      <c r="C9" s="5" t="s">
        <v>140</v>
      </c>
      <c r="D9" s="11">
        <v>2070000</v>
      </c>
      <c r="E9" s="11">
        <v>18000</v>
      </c>
      <c r="F9" s="11">
        <v>168</v>
      </c>
      <c r="G9" s="11">
        <f t="shared" si="0"/>
        <v>3024000</v>
      </c>
      <c r="H9" s="11">
        <f t="shared" si="1"/>
        <v>954000</v>
      </c>
    </row>
    <row r="10" spans="1:8" x14ac:dyDescent="0.3">
      <c r="A10" s="5" t="s">
        <v>138</v>
      </c>
      <c r="B10" s="5" t="s">
        <v>144</v>
      </c>
      <c r="C10" s="5" t="s">
        <v>109</v>
      </c>
      <c r="D10" s="11">
        <v>2730000</v>
      </c>
      <c r="E10" s="11">
        <v>20000</v>
      </c>
      <c r="F10" s="11">
        <v>183</v>
      </c>
      <c r="G10" s="11">
        <f t="shared" si="0"/>
        <v>3660000</v>
      </c>
      <c r="H10" s="11">
        <f t="shared" si="1"/>
        <v>930000</v>
      </c>
    </row>
    <row r="11" spans="1:8" x14ac:dyDescent="0.3">
      <c r="A11" s="5" t="s">
        <v>134</v>
      </c>
      <c r="B11" s="5" t="s">
        <v>145</v>
      </c>
      <c r="C11" s="5" t="s">
        <v>109</v>
      </c>
      <c r="D11" s="11">
        <v>2400000</v>
      </c>
      <c r="E11" s="11">
        <v>19000</v>
      </c>
      <c r="F11" s="11">
        <v>175</v>
      </c>
      <c r="G11" s="11">
        <f t="shared" si="0"/>
        <v>3325000</v>
      </c>
      <c r="H11" s="11">
        <f t="shared" si="1"/>
        <v>925000</v>
      </c>
    </row>
    <row r="12" spans="1:8" x14ac:dyDescent="0.3">
      <c r="A12" s="5" t="s">
        <v>136</v>
      </c>
      <c r="B12" s="5" t="s">
        <v>146</v>
      </c>
      <c r="C12" s="5" t="s">
        <v>103</v>
      </c>
      <c r="D12" s="11">
        <v>1890000</v>
      </c>
      <c r="E12" s="11">
        <v>16000</v>
      </c>
      <c r="F12" s="11">
        <v>166</v>
      </c>
      <c r="G12" s="11">
        <f t="shared" si="0"/>
        <v>2656000</v>
      </c>
      <c r="H12" s="11">
        <f t="shared" si="1"/>
        <v>766000</v>
      </c>
    </row>
    <row r="13" spans="1:8" x14ac:dyDescent="0.3">
      <c r="A13" s="5" t="s">
        <v>136</v>
      </c>
      <c r="B13" s="5" t="s">
        <v>147</v>
      </c>
      <c r="C13" s="5" t="s">
        <v>109</v>
      </c>
      <c r="D13" s="11">
        <v>1890000</v>
      </c>
      <c r="E13" s="11">
        <v>16000</v>
      </c>
      <c r="F13" s="11">
        <v>145</v>
      </c>
      <c r="G13" s="11">
        <f t="shared" si="0"/>
        <v>2320000</v>
      </c>
      <c r="H13" s="11">
        <f t="shared" si="1"/>
        <v>430000</v>
      </c>
    </row>
    <row r="14" spans="1:8" x14ac:dyDescent="0.3">
      <c r="A14" s="5" t="s">
        <v>134</v>
      </c>
      <c r="B14" s="5" t="s">
        <v>148</v>
      </c>
      <c r="C14" s="5" t="s">
        <v>140</v>
      </c>
      <c r="D14" s="11">
        <v>1900000</v>
      </c>
      <c r="E14" s="11">
        <v>16000</v>
      </c>
      <c r="F14" s="11">
        <v>135</v>
      </c>
      <c r="G14" s="11">
        <f t="shared" si="0"/>
        <v>2160000</v>
      </c>
      <c r="H14" s="11">
        <f t="shared" si="1"/>
        <v>260000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12"/>
  <sheetViews>
    <sheetView workbookViewId="0">
      <selection sqref="A1:G1"/>
    </sheetView>
  </sheetViews>
  <sheetFormatPr defaultRowHeight="16.5" x14ac:dyDescent="0.3"/>
  <sheetData>
    <row r="1" spans="1:7" ht="20.25" x14ac:dyDescent="0.3">
      <c r="A1" s="14" t="s">
        <v>149</v>
      </c>
      <c r="B1" s="14"/>
      <c r="C1" s="14"/>
      <c r="D1" s="14"/>
      <c r="E1" s="14"/>
      <c r="F1" s="14"/>
      <c r="G1" s="14"/>
    </row>
    <row r="3" spans="1:7" x14ac:dyDescent="0.3">
      <c r="A3" s="5" t="s">
        <v>150</v>
      </c>
      <c r="B3" s="5" t="s">
        <v>151</v>
      </c>
      <c r="C3" s="5" t="s">
        <v>152</v>
      </c>
      <c r="D3" s="5" t="s">
        <v>153</v>
      </c>
      <c r="E3" s="5" t="s">
        <v>154</v>
      </c>
      <c r="F3" s="5" t="s">
        <v>155</v>
      </c>
      <c r="G3" s="5" t="s">
        <v>75</v>
      </c>
    </row>
    <row r="4" spans="1:7" x14ac:dyDescent="0.3">
      <c r="A4" s="5" t="s">
        <v>156</v>
      </c>
      <c r="B4" s="5" t="s">
        <v>157</v>
      </c>
      <c r="C4" s="5">
        <v>79</v>
      </c>
      <c r="D4" s="5">
        <v>77</v>
      </c>
      <c r="E4" s="5">
        <v>84</v>
      </c>
      <c r="F4" s="5">
        <v>73</v>
      </c>
      <c r="G4" s="12">
        <f>AVERAGE(C4:F4)</f>
        <v>78.25</v>
      </c>
    </row>
    <row r="5" spans="1:7" x14ac:dyDescent="0.3">
      <c r="A5" s="5" t="s">
        <v>158</v>
      </c>
      <c r="B5" s="5" t="s">
        <v>159</v>
      </c>
      <c r="C5" s="5">
        <v>83</v>
      </c>
      <c r="D5" s="5">
        <v>91</v>
      </c>
      <c r="E5" s="5">
        <v>90</v>
      </c>
      <c r="F5" s="5">
        <v>89</v>
      </c>
      <c r="G5" s="12">
        <f t="shared" ref="G5:G12" si="0">AVERAGE(C5:F5)</f>
        <v>88.25</v>
      </c>
    </row>
    <row r="6" spans="1:7" x14ac:dyDescent="0.3">
      <c r="A6" s="5" t="s">
        <v>160</v>
      </c>
      <c r="B6" s="5" t="s">
        <v>161</v>
      </c>
      <c r="C6" s="5">
        <v>94</v>
      </c>
      <c r="D6" s="5">
        <v>95</v>
      </c>
      <c r="E6" s="5">
        <v>96</v>
      </c>
      <c r="F6" s="5">
        <v>97</v>
      </c>
      <c r="G6" s="12">
        <f t="shared" si="0"/>
        <v>95.5</v>
      </c>
    </row>
    <row r="7" spans="1:7" x14ac:dyDescent="0.3">
      <c r="A7" s="5" t="s">
        <v>162</v>
      </c>
      <c r="B7" s="5" t="s">
        <v>159</v>
      </c>
      <c r="C7" s="5">
        <v>92</v>
      </c>
      <c r="D7" s="5">
        <v>90</v>
      </c>
      <c r="E7" s="5">
        <v>93</v>
      </c>
      <c r="F7" s="5">
        <v>91</v>
      </c>
      <c r="G7" s="12">
        <f t="shared" si="0"/>
        <v>91.5</v>
      </c>
    </row>
    <row r="8" spans="1:7" x14ac:dyDescent="0.3">
      <c r="A8" s="5" t="s">
        <v>163</v>
      </c>
      <c r="B8" s="5" t="s">
        <v>161</v>
      </c>
      <c r="C8" s="5">
        <v>88</v>
      </c>
      <c r="D8" s="5">
        <v>93</v>
      </c>
      <c r="E8" s="5">
        <v>83</v>
      </c>
      <c r="F8" s="5">
        <v>89</v>
      </c>
      <c r="G8" s="12">
        <f t="shared" si="0"/>
        <v>88.25</v>
      </c>
    </row>
    <row r="9" spans="1:7" x14ac:dyDescent="0.3">
      <c r="A9" s="5" t="s">
        <v>164</v>
      </c>
      <c r="B9" s="5" t="s">
        <v>157</v>
      </c>
      <c r="C9" s="5">
        <v>91</v>
      </c>
      <c r="D9" s="5">
        <v>94</v>
      </c>
      <c r="E9" s="5">
        <v>88</v>
      </c>
      <c r="F9" s="5">
        <v>90</v>
      </c>
      <c r="G9" s="12">
        <f t="shared" si="0"/>
        <v>90.75</v>
      </c>
    </row>
    <row r="10" spans="1:7" x14ac:dyDescent="0.3">
      <c r="A10" s="5" t="s">
        <v>165</v>
      </c>
      <c r="B10" s="5" t="s">
        <v>157</v>
      </c>
      <c r="C10" s="5">
        <v>83</v>
      </c>
      <c r="D10" s="5">
        <v>76</v>
      </c>
      <c r="E10" s="5">
        <v>80</v>
      </c>
      <c r="F10" s="5">
        <v>92</v>
      </c>
      <c r="G10" s="12">
        <f t="shared" si="0"/>
        <v>82.75</v>
      </c>
    </row>
    <row r="11" spans="1:7" x14ac:dyDescent="0.3">
      <c r="A11" s="5" t="s">
        <v>166</v>
      </c>
      <c r="B11" s="5" t="s">
        <v>161</v>
      </c>
      <c r="C11" s="5">
        <v>91</v>
      </c>
      <c r="D11" s="5">
        <v>83</v>
      </c>
      <c r="E11" s="5">
        <v>90</v>
      </c>
      <c r="F11" s="5">
        <v>87</v>
      </c>
      <c r="G11" s="12">
        <f t="shared" si="0"/>
        <v>87.75</v>
      </c>
    </row>
    <row r="12" spans="1:7" x14ac:dyDescent="0.3">
      <c r="A12" s="5" t="s">
        <v>167</v>
      </c>
      <c r="B12" s="5" t="s">
        <v>159</v>
      </c>
      <c r="C12" s="5">
        <v>72</v>
      </c>
      <c r="D12" s="5">
        <v>69</v>
      </c>
      <c r="E12" s="5">
        <v>76</v>
      </c>
      <c r="F12" s="5">
        <v>65</v>
      </c>
      <c r="G12" s="12">
        <f t="shared" si="0"/>
        <v>70.5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1"/>
  <sheetViews>
    <sheetView workbookViewId="0">
      <selection sqref="A1:E1"/>
    </sheetView>
  </sheetViews>
  <sheetFormatPr defaultRowHeight="16.5" x14ac:dyDescent="0.3"/>
  <cols>
    <col min="5" max="5" width="12.5" bestFit="1" customWidth="1"/>
    <col min="7" max="7" width="11.625" customWidth="1"/>
  </cols>
  <sheetData>
    <row r="1" spans="1:5" ht="20.25" x14ac:dyDescent="0.3">
      <c r="A1" s="14" t="s">
        <v>168</v>
      </c>
      <c r="B1" s="14"/>
      <c r="C1" s="14"/>
      <c r="D1" s="14"/>
      <c r="E1" s="14"/>
    </row>
    <row r="3" spans="1:5" x14ac:dyDescent="0.3">
      <c r="A3" s="5" t="s">
        <v>169</v>
      </c>
      <c r="B3" s="5" t="s">
        <v>170</v>
      </c>
      <c r="C3" s="5" t="s">
        <v>171</v>
      </c>
      <c r="D3" s="5" t="s">
        <v>172</v>
      </c>
      <c r="E3" s="5" t="s">
        <v>132</v>
      </c>
    </row>
    <row r="4" spans="1:5" x14ac:dyDescent="0.3">
      <c r="A4" s="5" t="s">
        <v>173</v>
      </c>
      <c r="B4" s="5" t="s">
        <v>174</v>
      </c>
      <c r="C4" s="13">
        <v>46800</v>
      </c>
      <c r="D4" s="5">
        <v>563</v>
      </c>
      <c r="E4" s="13"/>
    </row>
    <row r="5" spans="1:5" x14ac:dyDescent="0.3">
      <c r="A5" s="5" t="s">
        <v>175</v>
      </c>
      <c r="B5" s="5" t="s">
        <v>176</v>
      </c>
      <c r="C5" s="13">
        <v>31500</v>
      </c>
      <c r="D5" s="5">
        <v>425</v>
      </c>
      <c r="E5" s="13"/>
    </row>
    <row r="6" spans="1:5" x14ac:dyDescent="0.3">
      <c r="A6" s="5" t="s">
        <v>177</v>
      </c>
      <c r="B6" s="5" t="s">
        <v>176</v>
      </c>
      <c r="C6" s="13">
        <v>43800</v>
      </c>
      <c r="D6" s="5">
        <v>152</v>
      </c>
      <c r="E6" s="13"/>
    </row>
    <row r="7" spans="1:5" x14ac:dyDescent="0.3">
      <c r="A7" s="5" t="s">
        <v>178</v>
      </c>
      <c r="B7" s="5" t="s">
        <v>179</v>
      </c>
      <c r="C7" s="13">
        <v>31700</v>
      </c>
      <c r="D7" s="5">
        <v>95</v>
      </c>
      <c r="E7" s="13"/>
    </row>
    <row r="8" spans="1:5" x14ac:dyDescent="0.3">
      <c r="A8" s="5" t="s">
        <v>180</v>
      </c>
      <c r="B8" s="5" t="s">
        <v>174</v>
      </c>
      <c r="C8" s="13">
        <v>39900</v>
      </c>
      <c r="D8" s="5">
        <v>357</v>
      </c>
      <c r="E8" s="13"/>
    </row>
    <row r="9" spans="1:5" x14ac:dyDescent="0.3">
      <c r="A9" s="5" t="s">
        <v>181</v>
      </c>
      <c r="B9" s="5" t="s">
        <v>182</v>
      </c>
      <c r="C9" s="13">
        <v>27400</v>
      </c>
      <c r="D9" s="5">
        <v>392</v>
      </c>
      <c r="E9" s="13"/>
    </row>
    <row r="10" spans="1:5" x14ac:dyDescent="0.3">
      <c r="A10" s="5" t="s">
        <v>183</v>
      </c>
      <c r="B10" s="5" t="s">
        <v>176</v>
      </c>
      <c r="C10" s="13">
        <v>30600</v>
      </c>
      <c r="D10" s="5">
        <v>246</v>
      </c>
      <c r="E10" s="13"/>
    </row>
    <row r="11" spans="1:5" x14ac:dyDescent="0.3">
      <c r="A11" s="5" t="s">
        <v>184</v>
      </c>
      <c r="B11" s="5" t="s">
        <v>179</v>
      </c>
      <c r="C11" s="13">
        <v>26400</v>
      </c>
      <c r="D11" s="5">
        <v>135</v>
      </c>
      <c r="E11" s="13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E9"/>
  <sheetViews>
    <sheetView workbookViewId="0">
      <selection sqref="A1:E1"/>
    </sheetView>
  </sheetViews>
  <sheetFormatPr defaultRowHeight="16.5" x14ac:dyDescent="0.3"/>
  <sheetData>
    <row r="1" spans="1:5" ht="20.25" x14ac:dyDescent="0.3">
      <c r="A1" s="14" t="s">
        <v>116</v>
      </c>
      <c r="B1" s="14"/>
      <c r="C1" s="14"/>
      <c r="D1" s="14"/>
      <c r="E1" s="14"/>
    </row>
    <row r="3" spans="1:5" x14ac:dyDescent="0.3">
      <c r="A3" s="5" t="s">
        <v>117</v>
      </c>
      <c r="B3" s="5" t="s">
        <v>118</v>
      </c>
      <c r="C3" s="5" t="s">
        <v>119</v>
      </c>
      <c r="D3" s="5" t="s">
        <v>120</v>
      </c>
      <c r="E3" s="5" t="s">
        <v>75</v>
      </c>
    </row>
    <row r="4" spans="1:5" x14ac:dyDescent="0.3">
      <c r="A4" s="5" t="s">
        <v>121</v>
      </c>
      <c r="B4" s="5">
        <v>83</v>
      </c>
      <c r="C4" s="5">
        <v>73</v>
      </c>
      <c r="D4" s="5">
        <v>84</v>
      </c>
      <c r="E4" s="5">
        <v>80</v>
      </c>
    </row>
    <row r="5" spans="1:5" x14ac:dyDescent="0.3">
      <c r="A5" s="5" t="s">
        <v>122</v>
      </c>
      <c r="B5" s="5">
        <v>40</v>
      </c>
      <c r="C5" s="5">
        <v>45</v>
      </c>
      <c r="D5" s="5">
        <v>44</v>
      </c>
      <c r="E5" s="5">
        <v>43</v>
      </c>
    </row>
    <row r="6" spans="1:5" x14ac:dyDescent="0.3">
      <c r="A6" s="5" t="s">
        <v>123</v>
      </c>
      <c r="B6" s="5">
        <v>37</v>
      </c>
      <c r="C6" s="5">
        <v>33</v>
      </c>
      <c r="D6" s="5">
        <v>38</v>
      </c>
      <c r="E6" s="5">
        <v>36</v>
      </c>
    </row>
    <row r="7" spans="1:5" x14ac:dyDescent="0.3">
      <c r="A7" s="5" t="s">
        <v>124</v>
      </c>
      <c r="B7" s="5">
        <v>44</v>
      </c>
      <c r="C7" s="5">
        <v>40</v>
      </c>
      <c r="D7" s="5">
        <v>42</v>
      </c>
      <c r="E7" s="5">
        <v>42</v>
      </c>
    </row>
    <row r="8" spans="1:5" x14ac:dyDescent="0.3">
      <c r="A8" s="5" t="s">
        <v>125</v>
      </c>
      <c r="B8" s="5">
        <v>72</v>
      </c>
      <c r="C8" s="5">
        <v>70</v>
      </c>
      <c r="D8" s="5">
        <v>65</v>
      </c>
      <c r="E8" s="5">
        <v>69</v>
      </c>
    </row>
    <row r="9" spans="1:5" x14ac:dyDescent="0.3">
      <c r="A9" s="5" t="s">
        <v>126</v>
      </c>
      <c r="B9" s="5">
        <v>73</v>
      </c>
      <c r="C9" s="5">
        <v>71</v>
      </c>
      <c r="D9" s="5">
        <v>78</v>
      </c>
      <c r="E9" s="5">
        <v>74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2023-04-27T08:01:32Z</dcterms:created>
  <dcterms:modified xsi:type="dcterms:W3CDTF">2023-05-04T08:51:51Z</dcterms:modified>
</cp:coreProperties>
</file>