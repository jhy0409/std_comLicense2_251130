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5 최신기출문제\"/>
    </mc:Choice>
  </mc:AlternateContent>
  <xr:revisionPtr revIDLastSave="0" documentId="13_ncr:1_{2B5B02BA-2582-4587-97F6-8DFC703ABECF}" xr6:coauthVersionLast="47" xr6:coauthVersionMax="47" xr10:uidLastSave="{00000000-0000-0000-0000-000000000000}"/>
  <bookViews>
    <workbookView xWindow="4710" yWindow="1480" windowWidth="24360" windowHeight="1856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5" l="1"/>
  <c r="F6" i="5"/>
  <c r="F7" i="5"/>
  <c r="F8" i="5"/>
  <c r="F9" i="5"/>
  <c r="F10" i="5"/>
  <c r="F11" i="5"/>
  <c r="F12" i="5"/>
  <c r="F13" i="5"/>
  <c r="F14" i="5"/>
  <c r="F15" i="5"/>
  <c r="F4" i="5"/>
  <c r="C8" i="6"/>
</calcChain>
</file>

<file path=xl/sharedStrings.xml><?xml version="1.0" encoding="utf-8"?>
<sst xmlns="http://schemas.openxmlformats.org/spreadsheetml/2006/main" count="256" uniqueCount="202">
  <si>
    <t>상공여행사 여행 상품</t>
  </si>
  <si>
    <t>[표1]</t>
  </si>
  <si>
    <t>도서 대여 현황</t>
  </si>
  <si>
    <t>[표2]</t>
  </si>
  <si>
    <t>상공학원 시험 결과</t>
  </si>
  <si>
    <t>도서코드</t>
  </si>
  <si>
    <t>대출일자</t>
  </si>
  <si>
    <t>대출기간</t>
  </si>
  <si>
    <t>반납일자</t>
  </si>
  <si>
    <t>학교</t>
  </si>
  <si>
    <t>성명</t>
  </si>
  <si>
    <t>국어</t>
  </si>
  <si>
    <t>영어</t>
  </si>
  <si>
    <t>수학</t>
  </si>
  <si>
    <t>G10351</t>
  </si>
  <si>
    <t>상공고</t>
  </si>
  <si>
    <t>변효정</t>
  </si>
  <si>
    <t>P82509</t>
  </si>
  <si>
    <t>군자고</t>
  </si>
  <si>
    <t>김영수</t>
  </si>
  <si>
    <t>E52043</t>
  </si>
  <si>
    <t>홍보현</t>
  </si>
  <si>
    <t>G35614</t>
  </si>
  <si>
    <t>경성고</t>
  </si>
  <si>
    <t>강형준</t>
  </si>
  <si>
    <t>G74952</t>
  </si>
  <si>
    <t>강민성</t>
  </si>
  <si>
    <t>P25078</t>
  </si>
  <si>
    <t>유하은</t>
  </si>
  <si>
    <t>E29677</t>
  </si>
  <si>
    <t>박정훈</t>
  </si>
  <si>
    <t>P46611</t>
  </si>
  <si>
    <t>김시준</t>
  </si>
  <si>
    <t>P30967</t>
  </si>
  <si>
    <t>상공고 국어 평균 - 전체 국어 평균</t>
  </si>
  <si>
    <t>[표3]</t>
  </si>
  <si>
    <t>과일 판매 현황</t>
  </si>
  <si>
    <t>[표4]</t>
  </si>
  <si>
    <t>고객 관리 현황</t>
  </si>
  <si>
    <t>품명</t>
  </si>
  <si>
    <t>매입액</t>
  </si>
  <si>
    <t>판매액</t>
  </si>
  <si>
    <t>재고량</t>
  </si>
  <si>
    <t>손익</t>
  </si>
  <si>
    <t>고객명</t>
  </si>
  <si>
    <t>성별</t>
  </si>
  <si>
    <t>총구입금액</t>
  </si>
  <si>
    <t>등급</t>
  </si>
  <si>
    <t>딸기</t>
  </si>
  <si>
    <t>오종환</t>
  </si>
  <si>
    <t>남</t>
  </si>
  <si>
    <t>사과</t>
  </si>
  <si>
    <t>전선길</t>
  </si>
  <si>
    <t>배</t>
  </si>
  <si>
    <t>신채아</t>
  </si>
  <si>
    <t>여</t>
  </si>
  <si>
    <t>바나나</t>
  </si>
  <si>
    <t>한재훈</t>
  </si>
  <si>
    <t>파인애플</t>
  </si>
  <si>
    <t>최인영</t>
  </si>
  <si>
    <t>포도</t>
  </si>
  <si>
    <t>허이한</t>
  </si>
  <si>
    <t>오렌지</t>
  </si>
  <si>
    <t>유지선</t>
  </si>
  <si>
    <t>체리</t>
  </si>
  <si>
    <t>권민한</t>
  </si>
  <si>
    <t>바나나를 제외한 평균 손익 이상인 손익의 합계</t>
  </si>
  <si>
    <t>문수빈</t>
  </si>
  <si>
    <t>[표5]</t>
  </si>
  <si>
    <t>분식 주문 현황</t>
  </si>
  <si>
    <t>번호</t>
  </si>
  <si>
    <t>메뉴</t>
  </si>
  <si>
    <t>수량</t>
  </si>
  <si>
    <t>금액</t>
  </si>
  <si>
    <t>라면</t>
  </si>
  <si>
    <t>돈까스</t>
  </si>
  <si>
    <t>김밥</t>
  </si>
  <si>
    <t>떡볶이</t>
  </si>
  <si>
    <t>튀김</t>
  </si>
  <si>
    <t>&lt;메뉴 가격표&gt;</t>
  </si>
  <si>
    <t>가격</t>
  </si>
  <si>
    <t>상공문고 도서 입고 현황</t>
  </si>
  <si>
    <t>도서명</t>
  </si>
  <si>
    <t>저자</t>
  </si>
  <si>
    <t>쪽수</t>
  </si>
  <si>
    <t>출판년도</t>
  </si>
  <si>
    <t>입고일</t>
  </si>
  <si>
    <t>입고량</t>
  </si>
  <si>
    <t>총지급액</t>
  </si>
  <si>
    <t>소비자의 생각</t>
  </si>
  <si>
    <t>김정준</t>
  </si>
  <si>
    <t>2020년</t>
  </si>
  <si>
    <t>불편한 도서관</t>
  </si>
  <si>
    <t>최민정</t>
  </si>
  <si>
    <t>2016년</t>
  </si>
  <si>
    <t>개구리 식당</t>
  </si>
  <si>
    <t>배성진</t>
  </si>
  <si>
    <t>2019년</t>
  </si>
  <si>
    <t>마지막 수업</t>
  </si>
  <si>
    <t>장애라</t>
  </si>
  <si>
    <t>2021년</t>
  </si>
  <si>
    <t>부자의 심리학</t>
  </si>
  <si>
    <t>신석영</t>
  </si>
  <si>
    <t>돈 차갑게 다루어라</t>
  </si>
  <si>
    <t>유영조</t>
  </si>
  <si>
    <t>2018년</t>
  </si>
  <si>
    <t>월가의 그릇</t>
  </si>
  <si>
    <t>구주와</t>
  </si>
  <si>
    <t>2022년</t>
  </si>
  <si>
    <t>식사의 중요성</t>
  </si>
  <si>
    <t>윤석남</t>
  </si>
  <si>
    <t>맨발로 걷는 길</t>
  </si>
  <si>
    <t>김태호</t>
  </si>
  <si>
    <t>2017년</t>
  </si>
  <si>
    <t>착한 차별주의자</t>
  </si>
  <si>
    <t>이서희</t>
  </si>
  <si>
    <t>지역별 날씨</t>
    <phoneticPr fontId="1" type="noConversion"/>
  </si>
  <si>
    <t>기상;지역;12월;1월;2월;3월;4월;5월</t>
  </si>
  <si>
    <t>강수량;경기;20.9;17.9;26.9;42.9;70.1;113.7</t>
  </si>
  <si>
    <t>강수량;경상;18;18.2;23.5;44.2;69.3;96.3</t>
  </si>
  <si>
    <t>강수량;전라;33;31.2;38.4;64.2;69.4;91.8</t>
  </si>
  <si>
    <t>최고기온;경기;4.5;2.1;5.2;10.6;17.8;23.2</t>
  </si>
  <si>
    <t>최고기온;경상;11.2;8.6;9.4;12.4;16.5;20.1</t>
  </si>
  <si>
    <t>최고기온;전라;8.2;5.7;8.3;13.3;19.8;24.3</t>
  </si>
  <si>
    <t>평균온도;경기;0.3;-2.1;0.2;5.4;11.9;17.4</t>
  </si>
  <si>
    <t>평균온도;경상;0.1;-1.9;0.6;5.7;12.3;17.4</t>
  </si>
  <si>
    <t>평균온도;전라;2.4;0.1;1.9;6.6;12.9;18.3</t>
  </si>
  <si>
    <t>습도;경기;59;58;56;56;55;61</t>
  </si>
  <si>
    <t>습도;경상;64;62;59;58;56;63</t>
  </si>
  <si>
    <t>습도;전라;68;68;65;62;59;64</t>
  </si>
  <si>
    <t>지점별 매출 실적 현황</t>
    <phoneticPr fontId="1" type="noConversion"/>
  </si>
  <si>
    <t>제품명</t>
  </si>
  <si>
    <t>지점</t>
  </si>
  <si>
    <t>판매담당자</t>
  </si>
  <si>
    <t>판매량</t>
  </si>
  <si>
    <t>판매가</t>
  </si>
  <si>
    <t>총판매액</t>
  </si>
  <si>
    <t>저상형침대</t>
  </si>
  <si>
    <t>노원</t>
  </si>
  <si>
    <t>양은하</t>
  </si>
  <si>
    <t>4단책장</t>
  </si>
  <si>
    <t>성북</t>
  </si>
  <si>
    <t>허해수</t>
  </si>
  <si>
    <t>패브릭쇼파</t>
  </si>
  <si>
    <t>문시윤</t>
  </si>
  <si>
    <t>패밀리식탁</t>
  </si>
  <si>
    <t>마포</t>
  </si>
  <si>
    <t>서세진</t>
  </si>
  <si>
    <t>손서은</t>
  </si>
  <si>
    <t>콘솔장</t>
  </si>
  <si>
    <t>전준일</t>
  </si>
  <si>
    <t>우수아</t>
  </si>
  <si>
    <t>손찬호</t>
  </si>
  <si>
    <t>김소원</t>
  </si>
  <si>
    <t>최효인</t>
  </si>
  <si>
    <t>우영선</t>
  </si>
  <si>
    <t>고수연</t>
  </si>
  <si>
    <t>대출 현황</t>
    <phoneticPr fontId="1" type="noConversion"/>
  </si>
  <si>
    <t>대출지점</t>
  </si>
  <si>
    <t>대출금액</t>
  </si>
  <si>
    <t>금리(년)</t>
  </si>
  <si>
    <t>기간(개월)</t>
  </si>
  <si>
    <t>불입금액(월)</t>
  </si>
  <si>
    <t>서교동</t>
    <phoneticPr fontId="1" type="noConversion"/>
  </si>
  <si>
    <t>신입사원 채용 결과</t>
    <phoneticPr fontId="1" type="noConversion"/>
  </si>
  <si>
    <t>이름</t>
  </si>
  <si>
    <t>서류</t>
  </si>
  <si>
    <t>면접</t>
  </si>
  <si>
    <t>자격증</t>
  </si>
  <si>
    <t>총점</t>
  </si>
  <si>
    <t>장지하</t>
  </si>
  <si>
    <t>허대성</t>
  </si>
  <si>
    <t>박서준</t>
  </si>
  <si>
    <t>강여운</t>
  </si>
  <si>
    <t>박동준</t>
  </si>
  <si>
    <t>최시아</t>
  </si>
  <si>
    <t>김단비</t>
  </si>
  <si>
    <t>특산물 판매 현황</t>
    <phoneticPr fontId="1" type="noConversion"/>
  </si>
  <si>
    <t>구분</t>
  </si>
  <si>
    <t>지역</t>
  </si>
  <si>
    <t>상품명</t>
  </si>
  <si>
    <t>단가</t>
  </si>
  <si>
    <t>전월판매량</t>
  </si>
  <si>
    <t>당월판매량</t>
  </si>
  <si>
    <t>농산물</t>
  </si>
  <si>
    <t>논산</t>
  </si>
  <si>
    <t>정선</t>
  </si>
  <si>
    <t>찰옥수수</t>
  </si>
  <si>
    <t>청도</t>
  </si>
  <si>
    <t>미나리</t>
  </si>
  <si>
    <t>수산물</t>
  </si>
  <si>
    <t>목포</t>
  </si>
  <si>
    <t>낙지</t>
  </si>
  <si>
    <t>울릉도</t>
  </si>
  <si>
    <t>오징어</t>
  </si>
  <si>
    <t>통영</t>
  </si>
  <si>
    <t>굴</t>
  </si>
  <si>
    <t>축산물</t>
  </si>
  <si>
    <t>제주</t>
  </si>
  <si>
    <t>흑돼지</t>
  </si>
  <si>
    <t>횡성</t>
  </si>
  <si>
    <t>한우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</si>
</sst>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41" fontId="0" fillId="0" borderId="0" xfId="1" applyFont="1">
      <alignment vertical="center"/>
    </xf>
    <xf numFmtId="9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농</a:t>
            </a:r>
            <a:r>
              <a:rPr lang="en-US" altLang="ko-KR"/>
              <a:t>/</a:t>
            </a:r>
            <a:r>
              <a:rPr lang="ko-KR" altLang="en-US"/>
              <a:t>수산물 판매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단가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차트작업!$C$4:$C$9</c:f>
              <c:strCache>
                <c:ptCount val="6"/>
                <c:pt idx="0">
                  <c:v>딸기</c:v>
                </c:pt>
                <c:pt idx="1">
                  <c:v>찰옥수수</c:v>
                </c:pt>
                <c:pt idx="2">
                  <c:v>미나리</c:v>
                </c:pt>
                <c:pt idx="3">
                  <c:v>낙지</c:v>
                </c:pt>
                <c:pt idx="4">
                  <c:v>오징어</c:v>
                </c:pt>
                <c:pt idx="5">
                  <c:v>굴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14000</c:v>
                </c:pt>
                <c:pt idx="1">
                  <c:v>15000</c:v>
                </c:pt>
                <c:pt idx="2">
                  <c:v>12000</c:v>
                </c:pt>
                <c:pt idx="3">
                  <c:v>24000</c:v>
                </c:pt>
                <c:pt idx="4">
                  <c:v>18000</c:v>
                </c:pt>
                <c:pt idx="5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D4-43F0-90A4-CB7D45E34ADE}"/>
            </c:ext>
          </c:extLst>
        </c:ser>
        <c:ser>
          <c:idx val="1"/>
          <c:order val="1"/>
          <c:tx>
            <c:strRef>
              <c:f>차트작업!$E$3</c:f>
              <c:strCache>
                <c:ptCount val="1"/>
                <c:pt idx="0">
                  <c:v>전월판매량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차트작업!$C$4:$C$9</c:f>
              <c:strCache>
                <c:ptCount val="6"/>
                <c:pt idx="0">
                  <c:v>딸기</c:v>
                </c:pt>
                <c:pt idx="1">
                  <c:v>찰옥수수</c:v>
                </c:pt>
                <c:pt idx="2">
                  <c:v>미나리</c:v>
                </c:pt>
                <c:pt idx="3">
                  <c:v>낙지</c:v>
                </c:pt>
                <c:pt idx="4">
                  <c:v>오징어</c:v>
                </c:pt>
                <c:pt idx="5">
                  <c:v>굴</c:v>
                </c:pt>
              </c:strCache>
            </c:strRef>
          </c:cat>
          <c:val>
            <c:numRef>
              <c:f>차트작업!$E$4:$E$9</c:f>
              <c:numCache>
                <c:formatCode>#,##0_ </c:formatCode>
                <c:ptCount val="6"/>
                <c:pt idx="0">
                  <c:v>2542</c:v>
                </c:pt>
                <c:pt idx="1">
                  <c:v>2108</c:v>
                </c:pt>
                <c:pt idx="2">
                  <c:v>3193</c:v>
                </c:pt>
                <c:pt idx="3">
                  <c:v>1829</c:v>
                </c:pt>
                <c:pt idx="4">
                  <c:v>3965</c:v>
                </c:pt>
                <c:pt idx="5">
                  <c:v>2139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D4-43F0-90A4-CB7D45E34ADE}"/>
            </c:ext>
          </c:extLst>
        </c:ser>
        <c:ser>
          <c:idx val="2"/>
          <c:order val="2"/>
          <c:tx>
            <c:strRef>
              <c:f>차트작업!$F$3</c:f>
              <c:strCache>
                <c:ptCount val="1"/>
                <c:pt idx="0">
                  <c:v>당월판매량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차트작업!$C$4:$C$9</c:f>
              <c:strCache>
                <c:ptCount val="6"/>
                <c:pt idx="0">
                  <c:v>딸기</c:v>
                </c:pt>
                <c:pt idx="1">
                  <c:v>찰옥수수</c:v>
                </c:pt>
                <c:pt idx="2">
                  <c:v>미나리</c:v>
                </c:pt>
                <c:pt idx="3">
                  <c:v>낙지</c:v>
                </c:pt>
                <c:pt idx="4">
                  <c:v>오징어</c:v>
                </c:pt>
                <c:pt idx="5">
                  <c:v>굴</c:v>
                </c:pt>
              </c:strCache>
            </c:strRef>
          </c:cat>
          <c:val>
            <c:numRef>
              <c:f>차트작업!$F$4:$F$9</c:f>
              <c:numCache>
                <c:formatCode>#,##0_ </c:formatCode>
                <c:ptCount val="6"/>
                <c:pt idx="0">
                  <c:v>2898</c:v>
                </c:pt>
                <c:pt idx="1">
                  <c:v>1792</c:v>
                </c:pt>
                <c:pt idx="2">
                  <c:v>2522</c:v>
                </c:pt>
                <c:pt idx="3">
                  <c:v>1533</c:v>
                </c:pt>
                <c:pt idx="4">
                  <c:v>4630</c:v>
                </c:pt>
                <c:pt idx="5">
                  <c:v>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D4-43F0-90A4-CB7D45E34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967359"/>
        <c:axId val="155965919"/>
      </c:barChart>
      <c:catAx>
        <c:axId val="155967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965919"/>
        <c:crosses val="autoZero"/>
        <c:auto val="1"/>
        <c:lblAlgn val="ctr"/>
        <c:lblOffset val="100"/>
        <c:noMultiLvlLbl val="0"/>
      </c:catAx>
      <c:valAx>
        <c:axId val="15596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967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ED8A86AE-6615-F786-681D-D2BCB52B37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F8"/>
  <sheetViews>
    <sheetView tabSelected="1" workbookViewId="0"/>
  </sheetViews>
  <sheetFormatPr defaultRowHeight="17" x14ac:dyDescent="0.45"/>
  <cols>
    <col min="3" max="3" width="11.08203125" bestFit="1" customWidth="1"/>
    <col min="6" max="6" width="9.33203125" bestFit="1" customWidth="1"/>
  </cols>
  <sheetData>
    <row r="1" spans="1:6" x14ac:dyDescent="0.45">
      <c r="A1" t="s">
        <v>0</v>
      </c>
    </row>
    <row r="3" spans="1:6" x14ac:dyDescent="0.45">
      <c r="A3" s="1"/>
      <c r="B3" s="1"/>
      <c r="C3" s="1"/>
      <c r="D3" s="1"/>
      <c r="E3" s="1"/>
      <c r="F3" s="1"/>
    </row>
    <row r="4" spans="1:6" x14ac:dyDescent="0.45">
      <c r="A4" s="1"/>
      <c r="B4" s="1"/>
      <c r="C4" s="2"/>
      <c r="D4" s="1"/>
      <c r="E4" s="1"/>
      <c r="F4" s="3"/>
    </row>
    <row r="5" spans="1:6" x14ac:dyDescent="0.45">
      <c r="A5" s="1"/>
      <c r="B5" s="1"/>
      <c r="C5" s="2"/>
      <c r="D5" s="1"/>
      <c r="E5" s="1"/>
      <c r="F5" s="3"/>
    </row>
    <row r="6" spans="1:6" x14ac:dyDescent="0.45">
      <c r="A6" s="1"/>
      <c r="B6" s="1"/>
      <c r="C6" s="2"/>
      <c r="D6" s="1"/>
      <c r="E6" s="1"/>
      <c r="F6" s="3"/>
    </row>
    <row r="7" spans="1:6" x14ac:dyDescent="0.45">
      <c r="A7" s="1"/>
      <c r="B7" s="1"/>
      <c r="C7" s="2"/>
      <c r="D7" s="1"/>
      <c r="E7" s="1"/>
      <c r="F7" s="3"/>
    </row>
    <row r="8" spans="1:6" x14ac:dyDescent="0.45">
      <c r="A8" s="1"/>
      <c r="B8" s="1"/>
      <c r="C8" s="2"/>
      <c r="D8" s="1"/>
      <c r="E8" s="1"/>
      <c r="F8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G13"/>
  <sheetViews>
    <sheetView workbookViewId="0"/>
  </sheetViews>
  <sheetFormatPr defaultRowHeight="17" x14ac:dyDescent="0.45"/>
  <cols>
    <col min="1" max="1" width="18.58203125" bestFit="1" customWidth="1"/>
    <col min="5" max="5" width="11.08203125" bestFit="1" customWidth="1"/>
    <col min="7" max="7" width="12.5" bestFit="1" customWidth="1"/>
  </cols>
  <sheetData>
    <row r="1" spans="1:7" x14ac:dyDescent="0.45">
      <c r="A1" t="s">
        <v>81</v>
      </c>
    </row>
    <row r="3" spans="1:7" x14ac:dyDescent="0.45">
      <c r="A3" s="1" t="s">
        <v>82</v>
      </c>
      <c r="B3" s="1" t="s">
        <v>83</v>
      </c>
      <c r="C3" s="1" t="s">
        <v>84</v>
      </c>
      <c r="D3" s="1" t="s">
        <v>85</v>
      </c>
      <c r="E3" s="1" t="s">
        <v>86</v>
      </c>
      <c r="F3" s="1" t="s">
        <v>87</v>
      </c>
      <c r="G3" s="1" t="s">
        <v>88</v>
      </c>
    </row>
    <row r="4" spans="1:7" x14ac:dyDescent="0.45">
      <c r="A4" s="1" t="s">
        <v>89</v>
      </c>
      <c r="B4" s="1" t="s">
        <v>90</v>
      </c>
      <c r="C4" s="1">
        <v>320</v>
      </c>
      <c r="D4" s="1" t="s">
        <v>91</v>
      </c>
      <c r="E4" s="2">
        <v>45022</v>
      </c>
      <c r="F4" s="13">
        <v>1000</v>
      </c>
      <c r="G4">
        <v>16200000</v>
      </c>
    </row>
    <row r="5" spans="1:7" x14ac:dyDescent="0.45">
      <c r="A5" s="1" t="s">
        <v>92</v>
      </c>
      <c r="B5" s="1" t="s">
        <v>93</v>
      </c>
      <c r="C5" s="1">
        <v>250</v>
      </c>
      <c r="D5" s="1" t="s">
        <v>94</v>
      </c>
      <c r="E5" s="2">
        <v>45022</v>
      </c>
      <c r="F5" s="13">
        <v>500</v>
      </c>
      <c r="G5">
        <v>7936000</v>
      </c>
    </row>
    <row r="6" spans="1:7" x14ac:dyDescent="0.45">
      <c r="A6" s="1" t="s">
        <v>95</v>
      </c>
      <c r="B6" s="1" t="s">
        <v>96</v>
      </c>
      <c r="C6" s="1">
        <v>300</v>
      </c>
      <c r="D6" s="1" t="s">
        <v>97</v>
      </c>
      <c r="E6" s="2">
        <v>45023</v>
      </c>
      <c r="F6" s="13">
        <v>900</v>
      </c>
      <c r="G6">
        <v>13446000</v>
      </c>
    </row>
    <row r="7" spans="1:7" x14ac:dyDescent="0.45">
      <c r="A7" s="1" t="s">
        <v>98</v>
      </c>
      <c r="B7" s="1" t="s">
        <v>99</v>
      </c>
      <c r="C7" s="1">
        <v>360</v>
      </c>
      <c r="D7" s="1" t="s">
        <v>100</v>
      </c>
      <c r="E7" s="2">
        <v>45023</v>
      </c>
      <c r="F7" s="13">
        <v>1200</v>
      </c>
      <c r="G7">
        <v>21384000</v>
      </c>
    </row>
    <row r="8" spans="1:7" x14ac:dyDescent="0.45">
      <c r="A8" s="1" t="s">
        <v>101</v>
      </c>
      <c r="B8" s="1" t="s">
        <v>102</v>
      </c>
      <c r="C8" s="1">
        <v>295</v>
      </c>
      <c r="D8" s="1" t="s">
        <v>91</v>
      </c>
      <c r="E8" s="2">
        <v>45023</v>
      </c>
      <c r="F8" s="13">
        <v>1000</v>
      </c>
      <c r="G8">
        <v>13120000</v>
      </c>
    </row>
    <row r="9" spans="1:7" x14ac:dyDescent="0.45">
      <c r="A9" s="1" t="s">
        <v>103</v>
      </c>
      <c r="B9" s="1" t="s">
        <v>104</v>
      </c>
      <c r="C9" s="1">
        <v>440</v>
      </c>
      <c r="D9" s="1" t="s">
        <v>105</v>
      </c>
      <c r="E9" s="2">
        <v>45028</v>
      </c>
      <c r="F9" s="13">
        <v>1000</v>
      </c>
      <c r="G9">
        <v>22500000</v>
      </c>
    </row>
    <row r="10" spans="1:7" x14ac:dyDescent="0.45">
      <c r="A10" s="1" t="s">
        <v>106</v>
      </c>
      <c r="B10" s="1" t="s">
        <v>107</v>
      </c>
      <c r="C10" s="1">
        <v>350</v>
      </c>
      <c r="D10" s="1" t="s">
        <v>108</v>
      </c>
      <c r="E10" s="2">
        <v>45028</v>
      </c>
      <c r="F10" s="13">
        <v>900</v>
      </c>
      <c r="G10">
        <v>13050000</v>
      </c>
    </row>
    <row r="11" spans="1:7" x14ac:dyDescent="0.45">
      <c r="A11" s="1" t="s">
        <v>109</v>
      </c>
      <c r="B11" s="1" t="s">
        <v>110</v>
      </c>
      <c r="C11" s="1">
        <v>400</v>
      </c>
      <c r="D11" s="1" t="s">
        <v>100</v>
      </c>
      <c r="E11" s="2">
        <v>45030</v>
      </c>
      <c r="F11" s="13">
        <v>800</v>
      </c>
      <c r="G11">
        <v>21120000</v>
      </c>
    </row>
    <row r="12" spans="1:7" x14ac:dyDescent="0.45">
      <c r="A12" s="1" t="s">
        <v>111</v>
      </c>
      <c r="B12" s="1" t="s">
        <v>112</v>
      </c>
      <c r="C12" s="1">
        <v>330</v>
      </c>
      <c r="D12" s="1" t="s">
        <v>113</v>
      </c>
      <c r="E12" s="2">
        <v>45034</v>
      </c>
      <c r="F12" s="13">
        <v>1200</v>
      </c>
      <c r="G12">
        <v>17280000</v>
      </c>
    </row>
    <row r="13" spans="1:7" x14ac:dyDescent="0.45">
      <c r="A13" s="1" t="s">
        <v>114</v>
      </c>
      <c r="B13" s="1" t="s">
        <v>115</v>
      </c>
      <c r="C13" s="1">
        <v>420</v>
      </c>
      <c r="D13" s="1" t="s">
        <v>100</v>
      </c>
      <c r="E13" s="2">
        <v>45034</v>
      </c>
      <c r="F13" s="13">
        <v>600</v>
      </c>
      <c r="G13">
        <v>15900000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B2:G16"/>
  <sheetViews>
    <sheetView workbookViewId="0"/>
  </sheetViews>
  <sheetFormatPr defaultRowHeight="17" x14ac:dyDescent="0.45"/>
  <cols>
    <col min="1" max="1" width="3.58203125" customWidth="1"/>
  </cols>
  <sheetData>
    <row r="2" spans="2:7" ht="21" x14ac:dyDescent="0.45">
      <c r="B2" s="17" t="s">
        <v>116</v>
      </c>
      <c r="C2" s="17"/>
      <c r="D2" s="17"/>
      <c r="E2" s="17"/>
      <c r="F2" s="17"/>
      <c r="G2" s="17"/>
    </row>
    <row r="4" spans="2:7" x14ac:dyDescent="0.45">
      <c r="B4" t="s">
        <v>117</v>
      </c>
    </row>
    <row r="5" spans="2:7" x14ac:dyDescent="0.45">
      <c r="B5" t="s">
        <v>118</v>
      </c>
    </row>
    <row r="6" spans="2:7" x14ac:dyDescent="0.45">
      <c r="B6" t="s">
        <v>119</v>
      </c>
    </row>
    <row r="7" spans="2:7" x14ac:dyDescent="0.45">
      <c r="B7" t="s">
        <v>120</v>
      </c>
    </row>
    <row r="8" spans="2:7" x14ac:dyDescent="0.45">
      <c r="B8" t="s">
        <v>121</v>
      </c>
    </row>
    <row r="9" spans="2:7" x14ac:dyDescent="0.45">
      <c r="B9" t="s">
        <v>122</v>
      </c>
    </row>
    <row r="10" spans="2:7" x14ac:dyDescent="0.45">
      <c r="B10" t="s">
        <v>123</v>
      </c>
    </row>
    <row r="11" spans="2:7" x14ac:dyDescent="0.45">
      <c r="B11" t="s">
        <v>124</v>
      </c>
    </row>
    <row r="12" spans="2:7" x14ac:dyDescent="0.45">
      <c r="B12" t="s">
        <v>125</v>
      </c>
    </row>
    <row r="13" spans="2:7" x14ac:dyDescent="0.45">
      <c r="B13" t="s">
        <v>126</v>
      </c>
    </row>
    <row r="14" spans="2:7" x14ac:dyDescent="0.45">
      <c r="B14" t="s">
        <v>127</v>
      </c>
    </row>
    <row r="15" spans="2:7" x14ac:dyDescent="0.45">
      <c r="B15" t="s">
        <v>128</v>
      </c>
    </row>
    <row r="16" spans="2:7" x14ac:dyDescent="0.45">
      <c r="B16" t="s">
        <v>129</v>
      </c>
    </row>
  </sheetData>
  <mergeCells count="1">
    <mergeCell ref="B2:G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J35"/>
  <sheetViews>
    <sheetView workbookViewId="0"/>
  </sheetViews>
  <sheetFormatPr defaultRowHeight="17" x14ac:dyDescent="0.45"/>
  <cols>
    <col min="2" max="2" width="11.25" bestFit="1" customWidth="1"/>
    <col min="3" max="3" width="10.83203125" bestFit="1" customWidth="1"/>
    <col min="4" max="4" width="10.5" bestFit="1" customWidth="1"/>
    <col min="5" max="5" width="9.83203125" bestFit="1" customWidth="1"/>
    <col min="9" max="9" width="11" bestFit="1" customWidth="1"/>
  </cols>
  <sheetData>
    <row r="1" spans="1:10" x14ac:dyDescent="0.45">
      <c r="A1" s="6" t="s">
        <v>1</v>
      </c>
      <c r="B1" s="4" t="s">
        <v>2</v>
      </c>
      <c r="F1" s="5" t="s">
        <v>3</v>
      </c>
      <c r="G1" s="4" t="s">
        <v>4</v>
      </c>
    </row>
    <row r="2" spans="1:10" x14ac:dyDescent="0.45">
      <c r="A2" s="7" t="s">
        <v>5</v>
      </c>
      <c r="B2" s="7" t="s">
        <v>6</v>
      </c>
      <c r="C2" s="7" t="s">
        <v>7</v>
      </c>
      <c r="D2" s="9" t="s">
        <v>8</v>
      </c>
      <c r="F2" s="7" t="s">
        <v>9</v>
      </c>
      <c r="G2" s="7" t="s">
        <v>10</v>
      </c>
      <c r="H2" s="7" t="s">
        <v>11</v>
      </c>
      <c r="I2" s="7" t="s">
        <v>12</v>
      </c>
      <c r="J2" s="7" t="s">
        <v>13</v>
      </c>
    </row>
    <row r="3" spans="1:10" x14ac:dyDescent="0.45">
      <c r="A3" s="7" t="s">
        <v>14</v>
      </c>
      <c r="B3" s="8">
        <v>45022</v>
      </c>
      <c r="C3" s="7">
        <v>4</v>
      </c>
      <c r="D3" s="7"/>
      <c r="F3" s="7" t="s">
        <v>15</v>
      </c>
      <c r="G3" s="7" t="s">
        <v>16</v>
      </c>
      <c r="H3" s="7">
        <v>86</v>
      </c>
      <c r="I3" s="7">
        <v>84</v>
      </c>
      <c r="J3" s="7">
        <v>90</v>
      </c>
    </row>
    <row r="4" spans="1:10" x14ac:dyDescent="0.45">
      <c r="A4" s="7" t="s">
        <v>17</v>
      </c>
      <c r="B4" s="8">
        <v>45023</v>
      </c>
      <c r="C4" s="7">
        <v>6</v>
      </c>
      <c r="D4" s="7"/>
      <c r="F4" s="7" t="s">
        <v>18</v>
      </c>
      <c r="G4" s="7" t="s">
        <v>19</v>
      </c>
      <c r="H4" s="7">
        <v>88</v>
      </c>
      <c r="I4" s="7">
        <v>85</v>
      </c>
      <c r="J4" s="7">
        <v>88</v>
      </c>
    </row>
    <row r="5" spans="1:10" x14ac:dyDescent="0.45">
      <c r="A5" s="7" t="s">
        <v>20</v>
      </c>
      <c r="B5" s="8">
        <v>45023</v>
      </c>
      <c r="C5" s="7">
        <v>4</v>
      </c>
      <c r="D5" s="7"/>
      <c r="F5" s="7" t="s">
        <v>15</v>
      </c>
      <c r="G5" s="7" t="s">
        <v>21</v>
      </c>
      <c r="H5" s="7">
        <v>93</v>
      </c>
      <c r="I5" s="7">
        <v>91</v>
      </c>
      <c r="J5" s="7">
        <v>94</v>
      </c>
    </row>
    <row r="6" spans="1:10" x14ac:dyDescent="0.45">
      <c r="A6" s="7" t="s">
        <v>22</v>
      </c>
      <c r="B6" s="8">
        <v>45028</v>
      </c>
      <c r="C6" s="7">
        <v>7</v>
      </c>
      <c r="D6" s="7"/>
      <c r="F6" s="7" t="s">
        <v>23</v>
      </c>
      <c r="G6" s="7" t="s">
        <v>24</v>
      </c>
      <c r="H6" s="7">
        <v>92</v>
      </c>
      <c r="I6" s="7">
        <v>91</v>
      </c>
      <c r="J6" s="7">
        <v>90</v>
      </c>
    </row>
    <row r="7" spans="1:10" x14ac:dyDescent="0.45">
      <c r="A7" s="7" t="s">
        <v>25</v>
      </c>
      <c r="B7" s="8">
        <v>45028</v>
      </c>
      <c r="C7" s="7">
        <v>5</v>
      </c>
      <c r="D7" s="7"/>
      <c r="F7" s="7" t="s">
        <v>18</v>
      </c>
      <c r="G7" s="7" t="s">
        <v>26</v>
      </c>
      <c r="H7" s="7">
        <v>91</v>
      </c>
      <c r="I7" s="7">
        <v>93</v>
      </c>
      <c r="J7" s="7">
        <v>90</v>
      </c>
    </row>
    <row r="8" spans="1:10" x14ac:dyDescent="0.45">
      <c r="A8" s="7" t="s">
        <v>27</v>
      </c>
      <c r="B8" s="8">
        <v>45033</v>
      </c>
      <c r="C8" s="7">
        <v>5</v>
      </c>
      <c r="D8" s="7"/>
      <c r="F8" s="7" t="s">
        <v>15</v>
      </c>
      <c r="G8" s="7" t="s">
        <v>28</v>
      </c>
      <c r="H8" s="7">
        <v>70</v>
      </c>
      <c r="I8" s="7">
        <v>76</v>
      </c>
      <c r="J8" s="7">
        <v>79</v>
      </c>
    </row>
    <row r="9" spans="1:10" x14ac:dyDescent="0.45">
      <c r="A9" s="7" t="s">
        <v>29</v>
      </c>
      <c r="B9" s="8">
        <v>45034</v>
      </c>
      <c r="C9" s="7">
        <v>4</v>
      </c>
      <c r="D9" s="7"/>
      <c r="F9" s="7" t="s">
        <v>23</v>
      </c>
      <c r="G9" s="7" t="s">
        <v>30</v>
      </c>
      <c r="H9" s="7">
        <v>86</v>
      </c>
      <c r="I9" s="7">
        <v>76</v>
      </c>
      <c r="J9" s="7">
        <v>75</v>
      </c>
    </row>
    <row r="10" spans="1:10" x14ac:dyDescent="0.45">
      <c r="A10" s="7" t="s">
        <v>31</v>
      </c>
      <c r="B10" s="8">
        <v>45034</v>
      </c>
      <c r="C10" s="7">
        <v>7</v>
      </c>
      <c r="D10" s="7"/>
      <c r="F10" s="7" t="s">
        <v>18</v>
      </c>
      <c r="G10" s="7" t="s">
        <v>32</v>
      </c>
      <c r="H10" s="7">
        <v>90</v>
      </c>
      <c r="I10" s="7">
        <v>95</v>
      </c>
      <c r="J10" s="7">
        <v>92</v>
      </c>
    </row>
    <row r="11" spans="1:10" x14ac:dyDescent="0.45">
      <c r="A11" s="7" t="s">
        <v>33</v>
      </c>
      <c r="B11" s="8">
        <v>45035</v>
      </c>
      <c r="C11" s="7">
        <v>3</v>
      </c>
      <c r="D11" s="7"/>
      <c r="F11" s="18" t="s">
        <v>34</v>
      </c>
      <c r="G11" s="19"/>
      <c r="H11" s="19"/>
      <c r="I11" s="20"/>
      <c r="J11" s="7"/>
    </row>
    <row r="13" spans="1:10" x14ac:dyDescent="0.45">
      <c r="A13" s="5" t="s">
        <v>35</v>
      </c>
      <c r="B13" s="4" t="s">
        <v>36</v>
      </c>
      <c r="G13" s="6" t="s">
        <v>37</v>
      </c>
      <c r="H13" s="4" t="s">
        <v>38</v>
      </c>
    </row>
    <row r="14" spans="1:10" x14ac:dyDescent="0.45">
      <c r="A14" s="7" t="s">
        <v>39</v>
      </c>
      <c r="B14" s="7" t="s">
        <v>40</v>
      </c>
      <c r="C14" s="7" t="s">
        <v>41</v>
      </c>
      <c r="D14" s="7" t="s">
        <v>42</v>
      </c>
      <c r="E14" s="7" t="s">
        <v>43</v>
      </c>
      <c r="G14" s="7" t="s">
        <v>44</v>
      </c>
      <c r="H14" s="7" t="s">
        <v>45</v>
      </c>
      <c r="I14" s="7" t="s">
        <v>46</v>
      </c>
      <c r="J14" s="9" t="s">
        <v>47</v>
      </c>
    </row>
    <row r="15" spans="1:10" x14ac:dyDescent="0.45">
      <c r="A15" s="7" t="s">
        <v>48</v>
      </c>
      <c r="B15" s="12">
        <v>900000</v>
      </c>
      <c r="C15" s="12">
        <v>1150000</v>
      </c>
      <c r="D15" s="12">
        <v>19</v>
      </c>
      <c r="E15" s="12">
        <v>250000</v>
      </c>
      <c r="G15" s="7" t="s">
        <v>49</v>
      </c>
      <c r="H15" s="7" t="s">
        <v>50</v>
      </c>
      <c r="I15" s="11">
        <v>3524000</v>
      </c>
      <c r="J15" s="7"/>
    </row>
    <row r="16" spans="1:10" x14ac:dyDescent="0.45">
      <c r="A16" s="7" t="s">
        <v>51</v>
      </c>
      <c r="B16" s="12">
        <v>1500000</v>
      </c>
      <c r="C16" s="12">
        <v>1370000</v>
      </c>
      <c r="D16" s="12">
        <v>61</v>
      </c>
      <c r="E16" s="12">
        <v>-130000</v>
      </c>
      <c r="G16" s="7" t="s">
        <v>52</v>
      </c>
      <c r="H16" s="7" t="s">
        <v>50</v>
      </c>
      <c r="I16" s="11">
        <v>883000</v>
      </c>
      <c r="J16" s="7"/>
    </row>
    <row r="17" spans="1:10" x14ac:dyDescent="0.45">
      <c r="A17" s="7" t="s">
        <v>53</v>
      </c>
      <c r="B17" s="12">
        <v>800000</v>
      </c>
      <c r="C17" s="12">
        <v>860000</v>
      </c>
      <c r="D17" s="12">
        <v>32</v>
      </c>
      <c r="E17" s="12">
        <v>60000</v>
      </c>
      <c r="G17" s="7" t="s">
        <v>54</v>
      </c>
      <c r="H17" s="7" t="s">
        <v>55</v>
      </c>
      <c r="I17" s="11">
        <v>1380000</v>
      </c>
      <c r="J17" s="7"/>
    </row>
    <row r="18" spans="1:10" x14ac:dyDescent="0.45">
      <c r="A18" s="7" t="s">
        <v>56</v>
      </c>
      <c r="B18" s="12">
        <v>1200000</v>
      </c>
      <c r="C18" s="12">
        <v>1520000</v>
      </c>
      <c r="D18" s="12">
        <v>9</v>
      </c>
      <c r="E18" s="12">
        <v>320000</v>
      </c>
      <c r="G18" s="7" t="s">
        <v>57</v>
      </c>
      <c r="H18" s="7" t="s">
        <v>50</v>
      </c>
      <c r="I18" s="11">
        <v>4921000</v>
      </c>
      <c r="J18" s="7"/>
    </row>
    <row r="19" spans="1:10" x14ac:dyDescent="0.45">
      <c r="A19" s="7" t="s">
        <v>58</v>
      </c>
      <c r="B19" s="12">
        <v>500000</v>
      </c>
      <c r="C19" s="12">
        <v>402000</v>
      </c>
      <c r="D19" s="12">
        <v>56</v>
      </c>
      <c r="E19" s="12">
        <v>-98000</v>
      </c>
      <c r="G19" s="7" t="s">
        <v>59</v>
      </c>
      <c r="H19" s="7" t="s">
        <v>55</v>
      </c>
      <c r="I19" s="11">
        <v>1665000</v>
      </c>
      <c r="J19" s="7"/>
    </row>
    <row r="20" spans="1:10" x14ac:dyDescent="0.45">
      <c r="A20" s="7" t="s">
        <v>60</v>
      </c>
      <c r="B20" s="12">
        <v>1300000</v>
      </c>
      <c r="C20" s="12">
        <v>1560000</v>
      </c>
      <c r="D20" s="12">
        <v>11</v>
      </c>
      <c r="E20" s="12">
        <v>260000</v>
      </c>
      <c r="G20" s="7" t="s">
        <v>61</v>
      </c>
      <c r="H20" s="7" t="s">
        <v>50</v>
      </c>
      <c r="I20" s="11">
        <v>967000</v>
      </c>
      <c r="J20" s="7"/>
    </row>
    <row r="21" spans="1:10" x14ac:dyDescent="0.45">
      <c r="A21" s="7" t="s">
        <v>62</v>
      </c>
      <c r="B21" s="12">
        <v>1600000</v>
      </c>
      <c r="C21" s="12">
        <v>1930000</v>
      </c>
      <c r="D21" s="12">
        <v>7</v>
      </c>
      <c r="E21" s="12">
        <v>330000</v>
      </c>
      <c r="G21" s="7" t="s">
        <v>63</v>
      </c>
      <c r="H21" s="7" t="s">
        <v>55</v>
      </c>
      <c r="I21" s="11">
        <v>2498000</v>
      </c>
      <c r="J21" s="7"/>
    </row>
    <row r="22" spans="1:10" x14ac:dyDescent="0.45">
      <c r="A22" s="7" t="s">
        <v>64</v>
      </c>
      <c r="B22" s="12">
        <v>700000</v>
      </c>
      <c r="C22" s="12">
        <v>930000</v>
      </c>
      <c r="D22" s="12">
        <v>13</v>
      </c>
      <c r="E22" s="12">
        <v>230000</v>
      </c>
      <c r="G22" s="7" t="s">
        <v>65</v>
      </c>
      <c r="H22" s="7" t="s">
        <v>50</v>
      </c>
      <c r="I22" s="11">
        <v>5240000</v>
      </c>
      <c r="J22" s="7"/>
    </row>
    <row r="23" spans="1:10" x14ac:dyDescent="0.45">
      <c r="A23" s="18" t="s">
        <v>66</v>
      </c>
      <c r="B23" s="19"/>
      <c r="C23" s="19"/>
      <c r="D23" s="20"/>
      <c r="E23" s="12"/>
      <c r="G23" s="7" t="s">
        <v>67</v>
      </c>
      <c r="H23" s="7" t="s">
        <v>55</v>
      </c>
      <c r="I23" s="11">
        <v>2012000</v>
      </c>
      <c r="J23" s="7"/>
    </row>
    <row r="25" spans="1:10" x14ac:dyDescent="0.45">
      <c r="A25" s="5" t="s">
        <v>68</v>
      </c>
      <c r="B25" s="4" t="s">
        <v>69</v>
      </c>
    </row>
    <row r="26" spans="1:10" x14ac:dyDescent="0.45">
      <c r="A26" s="7" t="s">
        <v>70</v>
      </c>
      <c r="B26" s="7" t="s">
        <v>71</v>
      </c>
      <c r="C26" s="7" t="s">
        <v>72</v>
      </c>
      <c r="D26" s="9" t="s">
        <v>73</v>
      </c>
      <c r="F26" t="s">
        <v>79</v>
      </c>
    </row>
    <row r="27" spans="1:10" x14ac:dyDescent="0.45">
      <c r="A27" s="7">
        <v>1</v>
      </c>
      <c r="B27" s="7" t="s">
        <v>74</v>
      </c>
      <c r="C27" s="7">
        <v>3</v>
      </c>
      <c r="D27" s="11"/>
      <c r="F27" s="7" t="s">
        <v>71</v>
      </c>
      <c r="G27" s="7" t="s">
        <v>76</v>
      </c>
      <c r="H27" s="7" t="s">
        <v>74</v>
      </c>
      <c r="I27" s="7" t="s">
        <v>77</v>
      </c>
      <c r="J27" s="7" t="s">
        <v>75</v>
      </c>
    </row>
    <row r="28" spans="1:10" x14ac:dyDescent="0.45">
      <c r="A28" s="7">
        <v>2</v>
      </c>
      <c r="B28" s="7" t="s">
        <v>75</v>
      </c>
      <c r="C28" s="7">
        <v>2</v>
      </c>
      <c r="D28" s="11"/>
      <c r="F28" s="7" t="s">
        <v>80</v>
      </c>
      <c r="G28" s="11">
        <v>3500</v>
      </c>
      <c r="H28" s="11">
        <v>5000</v>
      </c>
      <c r="I28" s="11">
        <v>5500</v>
      </c>
      <c r="J28" s="11">
        <v>7000</v>
      </c>
    </row>
    <row r="29" spans="1:10" x14ac:dyDescent="0.45">
      <c r="A29" s="7">
        <v>3</v>
      </c>
      <c r="B29" s="7" t="s">
        <v>76</v>
      </c>
      <c r="C29" s="7">
        <v>5</v>
      </c>
      <c r="D29" s="11"/>
    </row>
    <row r="30" spans="1:10" x14ac:dyDescent="0.45">
      <c r="A30" s="7">
        <v>4</v>
      </c>
      <c r="B30" s="7" t="s">
        <v>77</v>
      </c>
      <c r="C30" s="7">
        <v>3</v>
      </c>
      <c r="D30" s="11"/>
    </row>
    <row r="31" spans="1:10" x14ac:dyDescent="0.45">
      <c r="A31" s="7">
        <v>5</v>
      </c>
      <c r="B31" s="7" t="s">
        <v>77</v>
      </c>
      <c r="C31" s="7">
        <v>2</v>
      </c>
      <c r="D31" s="11"/>
    </row>
    <row r="32" spans="1:10" x14ac:dyDescent="0.45">
      <c r="A32" s="7">
        <v>6</v>
      </c>
      <c r="B32" s="7" t="s">
        <v>78</v>
      </c>
      <c r="C32" s="7">
        <v>4</v>
      </c>
      <c r="D32" s="11"/>
    </row>
    <row r="33" spans="1:4" x14ac:dyDescent="0.45">
      <c r="A33" s="7">
        <v>7</v>
      </c>
      <c r="B33" s="7" t="s">
        <v>75</v>
      </c>
      <c r="C33" s="7">
        <v>3</v>
      </c>
      <c r="D33" s="11"/>
    </row>
    <row r="34" spans="1:4" x14ac:dyDescent="0.45">
      <c r="A34" s="7">
        <v>8</v>
      </c>
      <c r="B34" s="7" t="s">
        <v>74</v>
      </c>
      <c r="C34" s="7">
        <v>5</v>
      </c>
      <c r="D34" s="11"/>
    </row>
    <row r="35" spans="1:4" x14ac:dyDescent="0.45">
      <c r="A35" s="7">
        <v>9</v>
      </c>
      <c r="B35" s="7" t="s">
        <v>76</v>
      </c>
      <c r="C35" s="7">
        <v>6</v>
      </c>
      <c r="D35" s="11"/>
    </row>
  </sheetData>
  <mergeCells count="2">
    <mergeCell ref="F11:I11"/>
    <mergeCell ref="A23:D2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F15"/>
  <sheetViews>
    <sheetView workbookViewId="0">
      <selection sqref="A1:F1"/>
    </sheetView>
  </sheetViews>
  <sheetFormatPr defaultRowHeight="17" x14ac:dyDescent="0.45"/>
  <cols>
    <col min="1" max="1" width="11" bestFit="1" customWidth="1"/>
    <col min="3" max="3" width="11" bestFit="1" customWidth="1"/>
    <col min="5" max="5" width="10.83203125" bestFit="1" customWidth="1"/>
    <col min="6" max="6" width="11.83203125" bestFit="1" customWidth="1"/>
  </cols>
  <sheetData>
    <row r="1" spans="1:6" ht="21" x14ac:dyDescent="0.45">
      <c r="A1" s="17" t="s">
        <v>130</v>
      </c>
      <c r="B1" s="17"/>
      <c r="C1" s="17"/>
      <c r="D1" s="17"/>
      <c r="E1" s="17"/>
      <c r="F1" s="17"/>
    </row>
    <row r="3" spans="1:6" x14ac:dyDescent="0.45">
      <c r="A3" s="7" t="s">
        <v>131</v>
      </c>
      <c r="B3" s="7" t="s">
        <v>132</v>
      </c>
      <c r="C3" s="7" t="s">
        <v>133</v>
      </c>
      <c r="D3" s="7" t="s">
        <v>134</v>
      </c>
      <c r="E3" s="7" t="s">
        <v>135</v>
      </c>
      <c r="F3" s="7" t="s">
        <v>136</v>
      </c>
    </row>
    <row r="4" spans="1:6" x14ac:dyDescent="0.45">
      <c r="A4" s="7" t="s">
        <v>137</v>
      </c>
      <c r="B4" s="7" t="s">
        <v>138</v>
      </c>
      <c r="C4" s="7" t="s">
        <v>139</v>
      </c>
      <c r="D4" s="7">
        <v>28</v>
      </c>
      <c r="E4" s="11">
        <v>1056000</v>
      </c>
      <c r="F4" s="11">
        <f>D4*E4</f>
        <v>29568000</v>
      </c>
    </row>
    <row r="5" spans="1:6" x14ac:dyDescent="0.45">
      <c r="A5" s="7" t="s">
        <v>140</v>
      </c>
      <c r="B5" s="7" t="s">
        <v>141</v>
      </c>
      <c r="C5" s="7" t="s">
        <v>142</v>
      </c>
      <c r="D5" s="7">
        <v>35</v>
      </c>
      <c r="E5" s="11">
        <v>289000</v>
      </c>
      <c r="F5" s="11">
        <f t="shared" ref="F5:F15" si="0">D5*E5</f>
        <v>10115000</v>
      </c>
    </row>
    <row r="6" spans="1:6" x14ac:dyDescent="0.45">
      <c r="A6" s="7" t="s">
        <v>143</v>
      </c>
      <c r="B6" s="7" t="s">
        <v>138</v>
      </c>
      <c r="C6" s="7" t="s">
        <v>144</v>
      </c>
      <c r="D6" s="7">
        <v>19</v>
      </c>
      <c r="E6" s="11">
        <v>1950000</v>
      </c>
      <c r="F6" s="11">
        <f t="shared" si="0"/>
        <v>37050000</v>
      </c>
    </row>
    <row r="7" spans="1:6" x14ac:dyDescent="0.45">
      <c r="A7" s="7" t="s">
        <v>145</v>
      </c>
      <c r="B7" s="7" t="s">
        <v>146</v>
      </c>
      <c r="C7" s="7" t="s">
        <v>147</v>
      </c>
      <c r="D7" s="7">
        <v>61</v>
      </c>
      <c r="E7" s="11">
        <v>699000</v>
      </c>
      <c r="F7" s="11">
        <f t="shared" si="0"/>
        <v>42639000</v>
      </c>
    </row>
    <row r="8" spans="1:6" x14ac:dyDescent="0.45">
      <c r="A8" s="7" t="s">
        <v>137</v>
      </c>
      <c r="B8" s="7" t="s">
        <v>146</v>
      </c>
      <c r="C8" s="7" t="s">
        <v>148</v>
      </c>
      <c r="D8" s="7">
        <v>53</v>
      </c>
      <c r="E8" s="11">
        <v>1056000</v>
      </c>
      <c r="F8" s="11">
        <f t="shared" si="0"/>
        <v>55968000</v>
      </c>
    </row>
    <row r="9" spans="1:6" x14ac:dyDescent="0.45">
      <c r="A9" s="7" t="s">
        <v>149</v>
      </c>
      <c r="B9" s="7" t="s">
        <v>138</v>
      </c>
      <c r="C9" s="7" t="s">
        <v>150</v>
      </c>
      <c r="D9" s="7">
        <v>27</v>
      </c>
      <c r="E9" s="11">
        <v>376000</v>
      </c>
      <c r="F9" s="11">
        <f t="shared" si="0"/>
        <v>10152000</v>
      </c>
    </row>
    <row r="10" spans="1:6" x14ac:dyDescent="0.45">
      <c r="A10" s="7" t="s">
        <v>143</v>
      </c>
      <c r="B10" s="7" t="s">
        <v>146</v>
      </c>
      <c r="C10" s="7" t="s">
        <v>151</v>
      </c>
      <c r="D10" s="7">
        <v>22</v>
      </c>
      <c r="E10" s="11">
        <v>1950000</v>
      </c>
      <c r="F10" s="11">
        <f t="shared" si="0"/>
        <v>42900000</v>
      </c>
    </row>
    <row r="11" spans="1:6" x14ac:dyDescent="0.45">
      <c r="A11" s="7" t="s">
        <v>149</v>
      </c>
      <c r="B11" s="7" t="s">
        <v>141</v>
      </c>
      <c r="C11" s="7" t="s">
        <v>152</v>
      </c>
      <c r="D11" s="7">
        <v>15</v>
      </c>
      <c r="E11" s="11">
        <v>376000</v>
      </c>
      <c r="F11" s="11">
        <f t="shared" si="0"/>
        <v>5640000</v>
      </c>
    </row>
    <row r="12" spans="1:6" x14ac:dyDescent="0.45">
      <c r="A12" s="7" t="s">
        <v>137</v>
      </c>
      <c r="B12" s="7" t="s">
        <v>141</v>
      </c>
      <c r="C12" s="7" t="s">
        <v>153</v>
      </c>
      <c r="D12" s="7">
        <v>38</v>
      </c>
      <c r="E12" s="11">
        <v>1056000</v>
      </c>
      <c r="F12" s="11">
        <f t="shared" si="0"/>
        <v>40128000</v>
      </c>
    </row>
    <row r="13" spans="1:6" x14ac:dyDescent="0.45">
      <c r="A13" s="7" t="s">
        <v>140</v>
      </c>
      <c r="B13" s="7" t="s">
        <v>146</v>
      </c>
      <c r="C13" s="7" t="s">
        <v>154</v>
      </c>
      <c r="D13" s="7">
        <v>46</v>
      </c>
      <c r="E13" s="11">
        <v>289000</v>
      </c>
      <c r="F13" s="11">
        <f t="shared" si="0"/>
        <v>13294000</v>
      </c>
    </row>
    <row r="14" spans="1:6" x14ac:dyDescent="0.45">
      <c r="A14" s="7" t="s">
        <v>140</v>
      </c>
      <c r="B14" s="7" t="s">
        <v>138</v>
      </c>
      <c r="C14" s="7" t="s">
        <v>155</v>
      </c>
      <c r="D14" s="7">
        <v>62</v>
      </c>
      <c r="E14" s="11">
        <v>289000</v>
      </c>
      <c r="F14" s="11">
        <f t="shared" si="0"/>
        <v>17918000</v>
      </c>
    </row>
    <row r="15" spans="1:6" x14ac:dyDescent="0.45">
      <c r="A15" s="7" t="s">
        <v>145</v>
      </c>
      <c r="B15" s="7" t="s">
        <v>141</v>
      </c>
      <c r="C15" s="7" t="s">
        <v>156</v>
      </c>
      <c r="D15" s="7">
        <v>24</v>
      </c>
      <c r="E15" s="11">
        <v>699000</v>
      </c>
      <c r="F15" s="11">
        <f t="shared" si="0"/>
        <v>16776000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B2:C8"/>
  <sheetViews>
    <sheetView workbookViewId="0"/>
  </sheetViews>
  <sheetFormatPr defaultRowHeight="17" x14ac:dyDescent="0.45"/>
  <cols>
    <col min="1" max="1" width="3.58203125" customWidth="1"/>
    <col min="2" max="3" width="12.58203125" customWidth="1"/>
  </cols>
  <sheetData>
    <row r="2" spans="2:3" ht="21" x14ac:dyDescent="0.45">
      <c r="B2" s="17" t="s">
        <v>157</v>
      </c>
      <c r="C2" s="17"/>
    </row>
    <row r="4" spans="2:3" x14ac:dyDescent="0.45">
      <c r="B4" s="10" t="s">
        <v>158</v>
      </c>
      <c r="C4" s="7" t="s">
        <v>163</v>
      </c>
    </row>
    <row r="5" spans="2:3" x14ac:dyDescent="0.45">
      <c r="B5" s="10" t="s">
        <v>159</v>
      </c>
      <c r="C5" s="15">
        <v>62000000</v>
      </c>
    </row>
    <row r="6" spans="2:3" x14ac:dyDescent="0.45">
      <c r="B6" s="10" t="s">
        <v>160</v>
      </c>
      <c r="C6" s="14">
        <v>0.05</v>
      </c>
    </row>
    <row r="7" spans="2:3" x14ac:dyDescent="0.45">
      <c r="B7" s="10" t="s">
        <v>161</v>
      </c>
      <c r="C7" s="15">
        <v>36</v>
      </c>
    </row>
    <row r="8" spans="2:3" x14ac:dyDescent="0.45">
      <c r="B8" s="10" t="s">
        <v>162</v>
      </c>
      <c r="C8" s="15">
        <f>ROUND(PMT(C6/12,C7,-C5),-3)</f>
        <v>1858000</v>
      </c>
    </row>
  </sheetData>
  <mergeCells count="1">
    <mergeCell ref="B2:C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F10"/>
  <sheetViews>
    <sheetView workbookViewId="0">
      <selection sqref="A1:F1"/>
    </sheetView>
  </sheetViews>
  <sheetFormatPr defaultRowHeight="17" x14ac:dyDescent="0.45"/>
  <sheetData>
    <row r="1" spans="1:6" ht="21" x14ac:dyDescent="0.45">
      <c r="A1" s="17" t="s">
        <v>164</v>
      </c>
      <c r="B1" s="17"/>
      <c r="C1" s="17"/>
      <c r="D1" s="17"/>
      <c r="E1" s="17"/>
      <c r="F1" s="17"/>
    </row>
    <row r="3" spans="1:6" x14ac:dyDescent="0.45">
      <c r="A3" s="1" t="s">
        <v>165</v>
      </c>
      <c r="B3" s="1" t="s">
        <v>45</v>
      </c>
      <c r="C3" s="1" t="s">
        <v>166</v>
      </c>
      <c r="D3" s="1" t="s">
        <v>167</v>
      </c>
      <c r="E3" s="1" t="s">
        <v>168</v>
      </c>
      <c r="F3" s="1" t="s">
        <v>169</v>
      </c>
    </row>
    <row r="4" spans="1:6" x14ac:dyDescent="0.45">
      <c r="A4" s="1" t="s">
        <v>170</v>
      </c>
      <c r="B4" s="1" t="s">
        <v>55</v>
      </c>
      <c r="C4" s="1">
        <v>86</v>
      </c>
      <c r="D4" s="1">
        <v>82</v>
      </c>
      <c r="E4" s="1">
        <v>79</v>
      </c>
      <c r="F4" s="1"/>
    </row>
    <row r="5" spans="1:6" x14ac:dyDescent="0.45">
      <c r="A5" s="1" t="s">
        <v>171</v>
      </c>
      <c r="B5" s="1" t="s">
        <v>50</v>
      </c>
      <c r="C5" s="1">
        <v>78</v>
      </c>
      <c r="D5" s="1">
        <v>81</v>
      </c>
      <c r="E5" s="1">
        <v>82</v>
      </c>
      <c r="F5" s="1"/>
    </row>
    <row r="6" spans="1:6" x14ac:dyDescent="0.45">
      <c r="A6" s="1" t="s">
        <v>172</v>
      </c>
      <c r="B6" s="1" t="s">
        <v>50</v>
      </c>
      <c r="C6" s="1">
        <v>92</v>
      </c>
      <c r="D6" s="1">
        <v>93</v>
      </c>
      <c r="E6" s="1">
        <v>98</v>
      </c>
      <c r="F6" s="1"/>
    </row>
    <row r="7" spans="1:6" x14ac:dyDescent="0.45">
      <c r="A7" s="1" t="s">
        <v>173</v>
      </c>
      <c r="B7" s="1" t="s">
        <v>55</v>
      </c>
      <c r="C7" s="1">
        <v>79</v>
      </c>
      <c r="D7" s="1">
        <v>74</v>
      </c>
      <c r="E7" s="1">
        <v>67</v>
      </c>
      <c r="F7" s="1"/>
    </row>
    <row r="8" spans="1:6" x14ac:dyDescent="0.45">
      <c r="A8" s="1" t="s">
        <v>174</v>
      </c>
      <c r="B8" s="1" t="s">
        <v>50</v>
      </c>
      <c r="C8" s="1">
        <v>94</v>
      </c>
      <c r="D8" s="1">
        <v>92</v>
      </c>
      <c r="E8" s="1">
        <v>95</v>
      </c>
      <c r="F8" s="1"/>
    </row>
    <row r="9" spans="1:6" x14ac:dyDescent="0.45">
      <c r="A9" s="1" t="s">
        <v>175</v>
      </c>
      <c r="B9" s="1" t="s">
        <v>55</v>
      </c>
      <c r="C9" s="1">
        <v>69</v>
      </c>
      <c r="D9" s="1">
        <v>67</v>
      </c>
      <c r="E9" s="1">
        <v>63</v>
      </c>
      <c r="F9" s="1"/>
    </row>
    <row r="10" spans="1:6" x14ac:dyDescent="0.45">
      <c r="A10" s="1" t="s">
        <v>176</v>
      </c>
      <c r="B10" s="1" t="s">
        <v>55</v>
      </c>
      <c r="C10" s="1">
        <v>82</v>
      </c>
      <c r="D10" s="1">
        <v>88</v>
      </c>
      <c r="E10" s="1">
        <v>80</v>
      </c>
      <c r="F10" s="1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F11"/>
  <sheetViews>
    <sheetView workbookViewId="0">
      <selection sqref="A1:F1"/>
    </sheetView>
  </sheetViews>
  <sheetFormatPr defaultRowHeight="17" x14ac:dyDescent="0.45"/>
  <cols>
    <col min="5" max="6" width="11" bestFit="1" customWidth="1"/>
  </cols>
  <sheetData>
    <row r="1" spans="1:6" ht="21" x14ac:dyDescent="0.45">
      <c r="A1" s="17" t="s">
        <v>177</v>
      </c>
      <c r="B1" s="17"/>
      <c r="C1" s="17"/>
      <c r="D1" s="17"/>
      <c r="E1" s="17"/>
      <c r="F1" s="17"/>
    </row>
    <row r="3" spans="1:6" x14ac:dyDescent="0.45">
      <c r="A3" s="7" t="s">
        <v>178</v>
      </c>
      <c r="B3" s="7" t="s">
        <v>179</v>
      </c>
      <c r="C3" s="7" t="s">
        <v>180</v>
      </c>
      <c r="D3" s="7" t="s">
        <v>181</v>
      </c>
      <c r="E3" s="7" t="s">
        <v>182</v>
      </c>
      <c r="F3" s="7" t="s">
        <v>183</v>
      </c>
    </row>
    <row r="4" spans="1:6" x14ac:dyDescent="0.45">
      <c r="A4" s="7" t="s">
        <v>184</v>
      </c>
      <c r="B4" s="7" t="s">
        <v>185</v>
      </c>
      <c r="C4" s="7" t="s">
        <v>48</v>
      </c>
      <c r="D4" s="16">
        <v>14000</v>
      </c>
      <c r="E4" s="16">
        <v>2542</v>
      </c>
      <c r="F4" s="16">
        <v>2898</v>
      </c>
    </row>
    <row r="5" spans="1:6" x14ac:dyDescent="0.45">
      <c r="A5" s="7" t="s">
        <v>184</v>
      </c>
      <c r="B5" s="7" t="s">
        <v>186</v>
      </c>
      <c r="C5" s="7" t="s">
        <v>187</v>
      </c>
      <c r="D5" s="16">
        <v>15000</v>
      </c>
      <c r="E5" s="16">
        <v>2108</v>
      </c>
      <c r="F5" s="16">
        <v>1792</v>
      </c>
    </row>
    <row r="6" spans="1:6" x14ac:dyDescent="0.45">
      <c r="A6" s="7" t="s">
        <v>184</v>
      </c>
      <c r="B6" s="7" t="s">
        <v>188</v>
      </c>
      <c r="C6" s="7" t="s">
        <v>189</v>
      </c>
      <c r="D6" s="16">
        <v>12000</v>
      </c>
      <c r="E6" s="16">
        <v>3193</v>
      </c>
      <c r="F6" s="16">
        <v>2522</v>
      </c>
    </row>
    <row r="7" spans="1:6" x14ac:dyDescent="0.45">
      <c r="A7" s="7" t="s">
        <v>190</v>
      </c>
      <c r="B7" s="7" t="s">
        <v>191</v>
      </c>
      <c r="C7" s="7" t="s">
        <v>192</v>
      </c>
      <c r="D7" s="16">
        <v>24000</v>
      </c>
      <c r="E7" s="16">
        <v>1829</v>
      </c>
      <c r="F7" s="16">
        <v>1533</v>
      </c>
    </row>
    <row r="8" spans="1:6" x14ac:dyDescent="0.45">
      <c r="A8" s="7" t="s">
        <v>190</v>
      </c>
      <c r="B8" s="7" t="s">
        <v>193</v>
      </c>
      <c r="C8" s="7" t="s">
        <v>194</v>
      </c>
      <c r="D8" s="16">
        <v>18000</v>
      </c>
      <c r="E8" s="16">
        <v>3965</v>
      </c>
      <c r="F8" s="16">
        <v>4630</v>
      </c>
    </row>
    <row r="9" spans="1:6" x14ac:dyDescent="0.45">
      <c r="A9" s="7" t="s">
        <v>190</v>
      </c>
      <c r="B9" s="7" t="s">
        <v>195</v>
      </c>
      <c r="C9" s="7" t="s">
        <v>196</v>
      </c>
      <c r="D9" s="16">
        <v>20000</v>
      </c>
      <c r="E9" s="16">
        <v>2139</v>
      </c>
      <c r="F9" s="16">
        <v>1797</v>
      </c>
    </row>
    <row r="10" spans="1:6" x14ac:dyDescent="0.45">
      <c r="A10" s="7" t="s">
        <v>197</v>
      </c>
      <c r="B10" s="7" t="s">
        <v>198</v>
      </c>
      <c r="C10" s="7" t="s">
        <v>199</v>
      </c>
      <c r="D10" s="16">
        <v>36000</v>
      </c>
      <c r="E10" s="16">
        <v>1732</v>
      </c>
      <c r="F10" s="16">
        <v>1975</v>
      </c>
    </row>
    <row r="11" spans="1:6" x14ac:dyDescent="0.45">
      <c r="A11" s="7" t="s">
        <v>197</v>
      </c>
      <c r="B11" s="7" t="s">
        <v>200</v>
      </c>
      <c r="C11" s="7" t="s">
        <v>201</v>
      </c>
      <c r="D11" s="16">
        <v>68000</v>
      </c>
      <c r="E11" s="16">
        <v>1426</v>
      </c>
      <c r="F11" s="16">
        <v>1697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2023-05-11T11:20:12Z</dcterms:modified>
</cp:coreProperties>
</file>