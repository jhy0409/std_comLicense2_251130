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17_통합본\컴활2급실기\길벗컴활2급통합\부록\"/>
    </mc:Choice>
  </mc:AlternateContent>
  <xr:revisionPtr revIDLastSave="0" documentId="13_ncr:1_{64F11509-E49E-44E1-9D63-E54E11EB9471}" xr6:coauthVersionLast="47" xr6:coauthVersionMax="47" xr10:uidLastSave="{00000000-0000-0000-0000-000000000000}"/>
  <bookViews>
    <workbookView xWindow="-29310" yWindow="1360" windowWidth="24800" windowHeight="18440" tabRatio="723" xr2:uid="{BD60D7AD-1613-4CFE-B0CD-2F3CB23C56D0}"/>
  </bookViews>
  <sheets>
    <sheet name="24년상시01" sheetId="33" r:id="rId1"/>
    <sheet name="24년상시02" sheetId="34" r:id="rId2"/>
    <sheet name="24년상시03" sheetId="35" r:id="rId3"/>
    <sheet name="24년상시04" sheetId="36" r:id="rId4"/>
    <sheet name="23년상시01" sheetId="12" r:id="rId5"/>
    <sheet name="23년상시02" sheetId="13" r:id="rId6"/>
    <sheet name="23년상시03" sheetId="14" r:id="rId7"/>
    <sheet name="23년상시04" sheetId="15" r:id="rId8"/>
    <sheet name="22년상시01" sheetId="16" r:id="rId9"/>
    <sheet name="22년상시02" sheetId="17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1" i="35" l="1"/>
  <c r="I10" i="35"/>
  <c r="I9" i="35"/>
  <c r="I8" i="35"/>
  <c r="I7" i="35"/>
  <c r="I6" i="35"/>
  <c r="I5" i="35"/>
  <c r="I4" i="35"/>
  <c r="I3" i="35"/>
  <c r="J11" i="34" l="1"/>
  <c r="J10" i="34"/>
  <c r="J9" i="34"/>
  <c r="J8" i="34"/>
  <c r="J7" i="34"/>
  <c r="J6" i="34"/>
  <c r="J5" i="34"/>
  <c r="J4" i="34"/>
  <c r="J3" i="34"/>
</calcChain>
</file>

<file path=xl/sharedStrings.xml><?xml version="1.0" encoding="utf-8"?>
<sst xmlns="http://schemas.openxmlformats.org/spreadsheetml/2006/main" count="1138" uniqueCount="829">
  <si>
    <t>[표1]</t>
  </si>
  <si>
    <t>사원 관리 현황</t>
  </si>
  <si>
    <t>[표2]</t>
  </si>
  <si>
    <t>성명</t>
  </si>
  <si>
    <t>부서명</t>
  </si>
  <si>
    <t>사원명</t>
  </si>
  <si>
    <t>관리부</t>
  </si>
  <si>
    <t>영업부</t>
  </si>
  <si>
    <t>기획부</t>
  </si>
  <si>
    <t>[표3]</t>
    <phoneticPr fontId="1" type="noConversion"/>
  </si>
  <si>
    <t>이름</t>
    <phoneticPr fontId="1" type="noConversion"/>
  </si>
  <si>
    <t>입실시간</t>
  </si>
  <si>
    <t>퇴실시간</t>
  </si>
  <si>
    <t>제품코드</t>
  </si>
  <si>
    <t>품명</t>
  </si>
  <si>
    <t>판매량</t>
  </si>
  <si>
    <t>고강민</t>
    <phoneticPr fontId="1" type="noConversion"/>
  </si>
  <si>
    <t>[표5]</t>
  </si>
  <si>
    <t>수량</t>
  </si>
  <si>
    <t>코드</t>
  </si>
  <si>
    <t>K</t>
  </si>
  <si>
    <t>사원코드</t>
  </si>
  <si>
    <t>평가</t>
  </si>
  <si>
    <t>지역</t>
  </si>
  <si>
    <t>평균</t>
  </si>
  <si>
    <t>[표4]</t>
  </si>
  <si>
    <t>[표3]</t>
  </si>
  <si>
    <t>고객명</t>
  </si>
  <si>
    <t>이름</t>
  </si>
  <si>
    <t>성별</t>
  </si>
  <si>
    <t>부서명</t>
    <phoneticPr fontId="1" type="noConversion"/>
  </si>
  <si>
    <t>근태</t>
    <phoneticPr fontId="1" type="noConversion"/>
  </si>
  <si>
    <t>시험</t>
    <phoneticPr fontId="1" type="noConversion"/>
  </si>
  <si>
    <t>시험일자</t>
  </si>
  <si>
    <t>제주</t>
  </si>
  <si>
    <t>강릉</t>
  </si>
  <si>
    <t>부산</t>
  </si>
  <si>
    <t>번호</t>
  </si>
  <si>
    <t>김은소</t>
  </si>
  <si>
    <t>김정아</t>
  </si>
  <si>
    <t>소속</t>
  </si>
  <si>
    <t>영어</t>
  </si>
  <si>
    <t>합계</t>
  </si>
  <si>
    <t>등급</t>
  </si>
  <si>
    <t>구입총액</t>
  </si>
  <si>
    <t>국어</t>
  </si>
  <si>
    <t>수학</t>
  </si>
  <si>
    <t>반</t>
  </si>
  <si>
    <t>기록</t>
  </si>
  <si>
    <t>&lt;조건&gt;</t>
    <phoneticPr fontId="1" type="noConversion"/>
  </si>
  <si>
    <t>상품명</t>
  </si>
  <si>
    <t>금액</t>
  </si>
  <si>
    <t>결과</t>
  </si>
  <si>
    <t>경기</t>
  </si>
  <si>
    <t>인천</t>
  </si>
  <si>
    <t>김상욱</t>
  </si>
  <si>
    <t>참가번호</t>
  </si>
  <si>
    <t>서울</t>
  </si>
  <si>
    <t>광주</t>
  </si>
  <si>
    <t>점수</t>
  </si>
  <si>
    <t>구분</t>
  </si>
  <si>
    <t>학과</t>
  </si>
  <si>
    <t>사원</t>
  </si>
  <si>
    <t>과장</t>
  </si>
  <si>
    <t>대리</t>
  </si>
  <si>
    <t>남</t>
  </si>
  <si>
    <t>여</t>
  </si>
  <si>
    <t>이동준</t>
  </si>
  <si>
    <t>사원번호</t>
  </si>
  <si>
    <t>총점</t>
  </si>
  <si>
    <t>회원명</t>
  </si>
  <si>
    <t>이상희</t>
  </si>
  <si>
    <t>판매가</t>
  </si>
  <si>
    <t>영업2부</t>
  </si>
  <si>
    <t>영업1부</t>
  </si>
  <si>
    <t>영업3부</t>
  </si>
  <si>
    <t>사원관리</t>
  </si>
  <si>
    <t>시험 결과</t>
  </si>
  <si>
    <t>1, 3반 최저 점수 평균</t>
    <phoneticPr fontId="1" type="noConversion"/>
  </si>
  <si>
    <t>A-1529</t>
  </si>
  <si>
    <t>김준용</t>
  </si>
  <si>
    <t>정다운</t>
  </si>
  <si>
    <t>2반</t>
  </si>
  <si>
    <t>B-6011</t>
  </si>
  <si>
    <t>이경실</t>
  </si>
  <si>
    <t>이대로</t>
  </si>
  <si>
    <t>3반</t>
  </si>
  <si>
    <t>A-2768</t>
  </si>
  <si>
    <t>허안주</t>
  </si>
  <si>
    <t>김민정</t>
  </si>
  <si>
    <t>1반</t>
  </si>
  <si>
    <t>A-0644</t>
  </si>
  <si>
    <t>최고집</t>
  </si>
  <si>
    <t>B-9537</t>
  </si>
  <si>
    <t>고강민</t>
  </si>
  <si>
    <t>안혜경</t>
  </si>
  <si>
    <t>B-2436</t>
  </si>
  <si>
    <t>김민경</t>
  </si>
  <si>
    <t>조신수</t>
  </si>
  <si>
    <t>A-8167</t>
  </si>
  <si>
    <t>한상현</t>
  </si>
  <si>
    <t>정성민</t>
  </si>
  <si>
    <t>A-3551</t>
  </si>
  <si>
    <t>김단희</t>
  </si>
  <si>
    <t>주지훈</t>
  </si>
  <si>
    <t>B-0472</t>
  </si>
  <si>
    <t>이동엽</t>
  </si>
  <si>
    <t>박성은</t>
  </si>
  <si>
    <t>제품판매현황</t>
  </si>
  <si>
    <t>하프마라톤 결과</t>
  </si>
  <si>
    <t>제품명</t>
  </si>
  <si>
    <t>총판매액</t>
  </si>
  <si>
    <t>선수번호</t>
  </si>
  <si>
    <t>나이</t>
  </si>
  <si>
    <t>냉장</t>
  </si>
  <si>
    <t>생쫄면</t>
  </si>
  <si>
    <t>춘천</t>
  </si>
  <si>
    <t>가락우동</t>
  </si>
  <si>
    <t>영월</t>
  </si>
  <si>
    <t>냉동</t>
  </si>
  <si>
    <t>군만두</t>
  </si>
  <si>
    <t>수제비</t>
  </si>
  <si>
    <t>평창</t>
  </si>
  <si>
    <t>핫도그</t>
  </si>
  <si>
    <t>피자</t>
  </si>
  <si>
    <t>고성</t>
  </si>
  <si>
    <t>치킨너겟</t>
  </si>
  <si>
    <t>떡볶이</t>
  </si>
  <si>
    <t>쌀국수</t>
  </si>
  <si>
    <t>판매량 10 이상 20 미만인 판매 건수 비율</t>
  </si>
  <si>
    <t>가장 빠른 기록</t>
  </si>
  <si>
    <t>회원관리현황</t>
  </si>
  <si>
    <t>회원코드</t>
  </si>
  <si>
    <t>1-K-320</t>
  </si>
  <si>
    <t xml:space="preserve"> 정회원 </t>
  </si>
  <si>
    <t>3-S-966</t>
  </si>
  <si>
    <t xml:space="preserve"> 준회원 </t>
  </si>
  <si>
    <t>8-B-415</t>
  </si>
  <si>
    <t>6-B-527</t>
  </si>
  <si>
    <t>2-S-605</t>
  </si>
  <si>
    <t>3-B-012</t>
  </si>
  <si>
    <t>9-K-048</t>
  </si>
  <si>
    <t>4-K-213</t>
  </si>
  <si>
    <t>&lt;지역코드표&gt;</t>
  </si>
  <si>
    <t>5-S-217</t>
  </si>
  <si>
    <t>S</t>
  </si>
  <si>
    <t>B</t>
  </si>
  <si>
    <t>5-B-309</t>
  </si>
  <si>
    <t>독서실 이용현황</t>
  </si>
  <si>
    <t>부동산 투자현황</t>
  </si>
  <si>
    <t>총이용시간</t>
  </si>
  <si>
    <t>면적</t>
  </si>
  <si>
    <t>보증금</t>
  </si>
  <si>
    <t>월임대료</t>
  </si>
  <si>
    <t>실투자금액</t>
  </si>
  <si>
    <t>내과</t>
  </si>
  <si>
    <t>조경원</t>
  </si>
  <si>
    <t>소아과</t>
  </si>
  <si>
    <t>이천수</t>
  </si>
  <si>
    <t>안과</t>
  </si>
  <si>
    <t>박정연</t>
  </si>
  <si>
    <t>정형외과</t>
  </si>
  <si>
    <t>김종현</t>
  </si>
  <si>
    <t>권민서</t>
  </si>
  <si>
    <t>한상민</t>
  </si>
  <si>
    <t>최연재</t>
  </si>
  <si>
    <t>유현진</t>
  </si>
  <si>
    <t>소아과의 실투자금액 평균</t>
  </si>
  <si>
    <t>컴활2급 시험 결과</t>
  </si>
  <si>
    <t>제품구매현황</t>
  </si>
  <si>
    <t>수험번호</t>
  </si>
  <si>
    <t>컴퓨터일반</t>
  </si>
  <si>
    <t>엑셀</t>
  </si>
  <si>
    <t>주문수량</t>
  </si>
  <si>
    <t>본사보유량</t>
  </si>
  <si>
    <t>매장요청량</t>
  </si>
  <si>
    <t>구매예정수량</t>
  </si>
  <si>
    <t>S-120-D</t>
  </si>
  <si>
    <t>G-430-F</t>
  </si>
  <si>
    <t>A-218-Y</t>
  </si>
  <si>
    <t>W-462-N</t>
  </si>
  <si>
    <t>C-573-B</t>
  </si>
  <si>
    <t>H-946-P</t>
  </si>
  <si>
    <t>F-438-E</t>
  </si>
  <si>
    <t>K-149-V</t>
  </si>
  <si>
    <t>합격률</t>
  </si>
  <si>
    <t>M-527-L</t>
  </si>
  <si>
    <t>재학생정보</t>
  </si>
  <si>
    <t>학번</t>
  </si>
  <si>
    <t>입학년도</t>
  </si>
  <si>
    <t>&lt;학과정보표&gt;</t>
  </si>
  <si>
    <t>AE1542</t>
  </si>
  <si>
    <t>김영철</t>
  </si>
  <si>
    <t>학과코드</t>
  </si>
  <si>
    <t>학과교수</t>
  </si>
  <si>
    <t>학과명</t>
  </si>
  <si>
    <t>DE2546</t>
  </si>
  <si>
    <t>신서인</t>
  </si>
  <si>
    <t>AE</t>
  </si>
  <si>
    <t>강종원</t>
  </si>
  <si>
    <t>디자인</t>
  </si>
  <si>
    <t>FH1095</t>
  </si>
  <si>
    <t>양지현</t>
  </si>
  <si>
    <t>DE</t>
  </si>
  <si>
    <t>한혜진</t>
  </si>
  <si>
    <t>미디어</t>
  </si>
  <si>
    <t>AE2428</t>
  </si>
  <si>
    <t>유새론</t>
  </si>
  <si>
    <t>FH</t>
  </si>
  <si>
    <t>김성민</t>
  </si>
  <si>
    <t>실용음악</t>
  </si>
  <si>
    <t>BS2937</t>
  </si>
  <si>
    <t>이슬아</t>
  </si>
  <si>
    <t>BS</t>
  </si>
  <si>
    <t>최정용</t>
  </si>
  <si>
    <t>문예창작</t>
  </si>
  <si>
    <t>DE3810</t>
  </si>
  <si>
    <t>송준성</t>
  </si>
  <si>
    <t>FH2767</t>
  </si>
  <si>
    <t>박영훈</t>
  </si>
  <si>
    <t>BS1571</t>
  </si>
  <si>
    <t>배다해</t>
  </si>
  <si>
    <t>도서 대여 현황</t>
  </si>
  <si>
    <t>상공학원 시험 결과</t>
  </si>
  <si>
    <t>도서코드</t>
  </si>
  <si>
    <t>대출일자</t>
  </si>
  <si>
    <t>대출기간</t>
  </si>
  <si>
    <t>반납일자</t>
  </si>
  <si>
    <t>학교</t>
  </si>
  <si>
    <t>G10351</t>
  </si>
  <si>
    <t>상공고</t>
  </si>
  <si>
    <t>변효정</t>
  </si>
  <si>
    <t>P82509</t>
  </si>
  <si>
    <t>군자고</t>
  </si>
  <si>
    <t>김영수</t>
  </si>
  <si>
    <t>E52043</t>
  </si>
  <si>
    <t>홍보현</t>
  </si>
  <si>
    <t>G35614</t>
  </si>
  <si>
    <t>경성고</t>
  </si>
  <si>
    <t>강형준</t>
  </si>
  <si>
    <t>G74952</t>
  </si>
  <si>
    <t>강민성</t>
  </si>
  <si>
    <t>P25078</t>
  </si>
  <si>
    <t>유하은</t>
  </si>
  <si>
    <t>E29677</t>
  </si>
  <si>
    <t>박정훈</t>
  </si>
  <si>
    <t>P46611</t>
  </si>
  <si>
    <t>김시준</t>
  </si>
  <si>
    <t>P30967</t>
  </si>
  <si>
    <t>상공고 국어 평균 - 전체 국어 평균</t>
  </si>
  <si>
    <t>과일 판매 현황</t>
  </si>
  <si>
    <t>고객 관리 현황</t>
  </si>
  <si>
    <t>매입액</t>
  </si>
  <si>
    <t>판매액</t>
  </si>
  <si>
    <t>재고량</t>
  </si>
  <si>
    <t>손익</t>
  </si>
  <si>
    <t>총구입금액</t>
  </si>
  <si>
    <t>딸기</t>
  </si>
  <si>
    <t>오종환</t>
  </si>
  <si>
    <t>사과</t>
  </si>
  <si>
    <t>전선길</t>
  </si>
  <si>
    <t>배</t>
  </si>
  <si>
    <t>신채아</t>
  </si>
  <si>
    <t>바나나</t>
  </si>
  <si>
    <t>한재훈</t>
  </si>
  <si>
    <t>파인애플</t>
  </si>
  <si>
    <t>최인영</t>
  </si>
  <si>
    <t>포도</t>
  </si>
  <si>
    <t>허이한</t>
  </si>
  <si>
    <t>오렌지</t>
  </si>
  <si>
    <t>유지선</t>
  </si>
  <si>
    <t>체리</t>
  </si>
  <si>
    <t>권민한</t>
  </si>
  <si>
    <t>바나나를 제외한 평균 손익 이상인 손익의 합계</t>
  </si>
  <si>
    <t>문수빈</t>
  </si>
  <si>
    <t>분식 주문 현황</t>
  </si>
  <si>
    <t>메뉴</t>
  </si>
  <si>
    <t>&lt;메뉴 가격표&gt;</t>
  </si>
  <si>
    <t>라면</t>
  </si>
  <si>
    <t>김밥</t>
  </si>
  <si>
    <t>돈까스</t>
  </si>
  <si>
    <t>가격</t>
  </si>
  <si>
    <t>튀김</t>
  </si>
  <si>
    <t>승진 시험 결과</t>
  </si>
  <si>
    <t>종목별 시험 일정표</t>
  </si>
  <si>
    <t>외국어</t>
  </si>
  <si>
    <t>이론</t>
  </si>
  <si>
    <t>종목</t>
  </si>
  <si>
    <t>권영일</t>
  </si>
  <si>
    <t>정보처리</t>
  </si>
  <si>
    <t>이규창</t>
  </si>
  <si>
    <t>사무자동화</t>
  </si>
  <si>
    <t>에너지관리</t>
  </si>
  <si>
    <t>이진희</t>
  </si>
  <si>
    <t>전기</t>
  </si>
  <si>
    <t>한세영</t>
  </si>
  <si>
    <t>자동차정비</t>
  </si>
  <si>
    <t>장석영</t>
  </si>
  <si>
    <t>건설기계</t>
  </si>
  <si>
    <t>윤소정</t>
  </si>
  <si>
    <t>토목</t>
  </si>
  <si>
    <t>신선부</t>
  </si>
  <si>
    <t>정보관리</t>
  </si>
  <si>
    <t>비율</t>
  </si>
  <si>
    <t>한식조리</t>
  </si>
  <si>
    <t>사원별 실적 현황</t>
  </si>
  <si>
    <t>입사년도</t>
  </si>
  <si>
    <t>임시코드</t>
  </si>
  <si>
    <t>지점</t>
  </si>
  <si>
    <t>홍명찬</t>
  </si>
  <si>
    <t>pro535k</t>
  </si>
  <si>
    <t>SG-1245</t>
  </si>
  <si>
    <t>서혜진</t>
  </si>
  <si>
    <t>pla321d</t>
  </si>
  <si>
    <t>SG-6782</t>
  </si>
  <si>
    <t>양세완</t>
  </si>
  <si>
    <t>bck220a</t>
  </si>
  <si>
    <t>SG-2401</t>
  </si>
  <si>
    <t>유도원</t>
  </si>
  <si>
    <t>iuf035e</t>
  </si>
  <si>
    <t>SG-3844</t>
  </si>
  <si>
    <t>최윤희</t>
  </si>
  <si>
    <t>fvh693p</t>
  </si>
  <si>
    <t>SG-1059</t>
  </si>
  <si>
    <t>허현주</t>
  </si>
  <si>
    <t>ncr722u</t>
  </si>
  <si>
    <t>SG-2574</t>
  </si>
  <si>
    <t>한세호</t>
  </si>
  <si>
    <t>blc269y</t>
  </si>
  <si>
    <t>SG-3322</t>
  </si>
  <si>
    <t>노재연</t>
  </si>
  <si>
    <t>nto484l</t>
  </si>
  <si>
    <t>SG-6091</t>
  </si>
  <si>
    <t>심사 결과표</t>
  </si>
  <si>
    <t>1차</t>
  </si>
  <si>
    <t>2차</t>
  </si>
  <si>
    <t>3차</t>
  </si>
  <si>
    <t>4차</t>
  </si>
  <si>
    <t>5차</t>
  </si>
  <si>
    <t>A12301</t>
  </si>
  <si>
    <t>A12302</t>
  </si>
  <si>
    <t>A12303</t>
  </si>
  <si>
    <t>A12304</t>
  </si>
  <si>
    <t>A12305</t>
  </si>
  <si>
    <t>A12306</t>
  </si>
  <si>
    <t>A12307</t>
  </si>
  <si>
    <t>A12308</t>
  </si>
  <si>
    <t>A12309</t>
  </si>
  <si>
    <t>사원별 판매실적현황</t>
  </si>
  <si>
    <t>직급</t>
  </si>
  <si>
    <t>판매실적</t>
  </si>
  <si>
    <t>구입횟수</t>
  </si>
  <si>
    <t>HP-A-01</t>
  </si>
  <si>
    <t>황진주</t>
  </si>
  <si>
    <t>HP-A-02</t>
  </si>
  <si>
    <t>김민서</t>
  </si>
  <si>
    <t>HP-A-03</t>
  </si>
  <si>
    <t>HP-A-04</t>
  </si>
  <si>
    <t>심영훈</t>
  </si>
  <si>
    <t>HP-A-05</t>
  </si>
  <si>
    <t>최대건</t>
  </si>
  <si>
    <t>HP-A-06</t>
  </si>
  <si>
    <t>윤정희</t>
  </si>
  <si>
    <t>HP-A-07</t>
  </si>
  <si>
    <t>김민성</t>
  </si>
  <si>
    <t>HP-A-08</t>
  </si>
  <si>
    <t>노유영</t>
  </si>
  <si>
    <t>HP-A-09</t>
  </si>
  <si>
    <t>판매실적이 가장 높은 사원</t>
  </si>
  <si>
    <t>HP-A-10</t>
  </si>
  <si>
    <t>교양 성적표</t>
  </si>
  <si>
    <t>영어발표대회</t>
  </si>
  <si>
    <t>학생명</t>
  </si>
  <si>
    <t xml:space="preserve"> 박현숙 </t>
  </si>
  <si>
    <t>김연경</t>
  </si>
  <si>
    <t>컴퓨터</t>
  </si>
  <si>
    <t xml:space="preserve"> 송진우 </t>
  </si>
  <si>
    <t>박종훈</t>
  </si>
  <si>
    <t xml:space="preserve"> 이선빈 </t>
  </si>
  <si>
    <t>조유리</t>
  </si>
  <si>
    <t xml:space="preserve"> 전지석 </t>
  </si>
  <si>
    <t>강혜원</t>
  </si>
  <si>
    <t xml:space="preserve"> 한유빈 </t>
  </si>
  <si>
    <t>권은비</t>
  </si>
  <si>
    <t xml:space="preserve"> 강영웅 </t>
  </si>
  <si>
    <t>심우석</t>
  </si>
  <si>
    <t xml:space="preserve"> 김한수 </t>
  </si>
  <si>
    <t>김한성</t>
  </si>
  <si>
    <t xml:space="preserve"> 최미경 </t>
  </si>
  <si>
    <t>이효진</t>
  </si>
  <si>
    <t>컴퓨터-정보처리 점수 차이</t>
  </si>
  <si>
    <t>최미영</t>
  </si>
  <si>
    <t>상공몰 판매현황</t>
  </si>
  <si>
    <t>카테고리</t>
  </si>
  <si>
    <t>채소</t>
  </si>
  <si>
    <t>양배추</t>
  </si>
  <si>
    <t>과일</t>
  </si>
  <si>
    <t>정육</t>
  </si>
  <si>
    <t>닭고기</t>
  </si>
  <si>
    <t>돼지고기</t>
  </si>
  <si>
    <t>&lt;조건&gt;</t>
  </si>
  <si>
    <t>감자</t>
  </si>
  <si>
    <t>과일 총판매액 합계</t>
  </si>
  <si>
    <t>수학경시대회 결과</t>
  </si>
  <si>
    <t>도서판매현황</t>
  </si>
  <si>
    <t>출신지역</t>
  </si>
  <si>
    <t>평가점수</t>
  </si>
  <si>
    <t>서점</t>
  </si>
  <si>
    <t>도서</t>
  </si>
  <si>
    <t>상반기</t>
  </si>
  <si>
    <t>하반기</t>
  </si>
  <si>
    <t>P00001</t>
  </si>
  <si>
    <t>강준호</t>
  </si>
  <si>
    <t>하나문고</t>
  </si>
  <si>
    <t>SF</t>
  </si>
  <si>
    <t>P00002</t>
  </si>
  <si>
    <t>안혜진</t>
  </si>
  <si>
    <t>북스토리</t>
  </si>
  <si>
    <t>소설</t>
  </si>
  <si>
    <t>P00003</t>
  </si>
  <si>
    <t>한지민</t>
  </si>
  <si>
    <t>낮의서점</t>
  </si>
  <si>
    <t>로맨스</t>
  </si>
  <si>
    <t>P00004</t>
  </si>
  <si>
    <t>유서연</t>
  </si>
  <si>
    <t>망원서점</t>
  </si>
  <si>
    <t>P00005</t>
  </si>
  <si>
    <t>정병우</t>
  </si>
  <si>
    <t>노란책방</t>
  </si>
  <si>
    <t>P00006</t>
  </si>
  <si>
    <t>한지은</t>
  </si>
  <si>
    <t>책크인</t>
  </si>
  <si>
    <t>P00007</t>
  </si>
  <si>
    <t>최방원</t>
  </si>
  <si>
    <t>우리문고</t>
  </si>
  <si>
    <t>출신지역이 서울인 학생수</t>
  </si>
  <si>
    <t>국민서점</t>
  </si>
  <si>
    <t>상공은행 대출현황</t>
  </si>
  <si>
    <t>(단위:만원)</t>
  </si>
  <si>
    <t>소설 최대값-최소값 차이</t>
  </si>
  <si>
    <t>대출상품</t>
  </si>
  <si>
    <t>대출금액</t>
  </si>
  <si>
    <t>이자</t>
  </si>
  <si>
    <t>결혼자금</t>
  </si>
  <si>
    <t>박혜경</t>
  </si>
  <si>
    <t>주택마련</t>
  </si>
  <si>
    <t>조세웅</t>
  </si>
  <si>
    <t>출산</t>
  </si>
  <si>
    <t>김연중</t>
  </si>
  <si>
    <t>예금</t>
  </si>
  <si>
    <t>이민호</t>
  </si>
  <si>
    <t>높이뛰기 기록(cm)</t>
  </si>
  <si>
    <t>학자금</t>
  </si>
  <si>
    <t>황미경</t>
  </si>
  <si>
    <t>선수명</t>
  </si>
  <si>
    <t>수상</t>
  </si>
  <si>
    <t>유광현</t>
  </si>
  <si>
    <t>&lt;이자율표&gt;</t>
  </si>
  <si>
    <t>김현진</t>
  </si>
  <si>
    <t>이자율</t>
  </si>
  <si>
    <t>이의조</t>
  </si>
  <si>
    <t>이경민</t>
  </si>
  <si>
    <t>고회식</t>
  </si>
  <si>
    <t>이상식</t>
  </si>
  <si>
    <t>손지혁</t>
  </si>
  <si>
    <t>국가별 환율</t>
  </si>
  <si>
    <t>통화명</t>
  </si>
  <si>
    <t>환율</t>
  </si>
  <si>
    <t>USD</t>
  </si>
  <si>
    <t>AUD</t>
  </si>
  <si>
    <t>GBP</t>
  </si>
  <si>
    <t>JPY</t>
  </si>
  <si>
    <t>CNY</t>
  </si>
  <si>
    <t>총점</t>
    <phoneticPr fontId="1" type="noConversion"/>
  </si>
  <si>
    <t>등급</t>
    <phoneticPr fontId="1" type="noConversion"/>
  </si>
  <si>
    <t>윤정희</t>
    <phoneticPr fontId="1" type="noConversion"/>
  </si>
  <si>
    <t>[표2]</t>
    <phoneticPr fontId="1" type="noConversion"/>
  </si>
  <si>
    <t>제품코드</t>
    <phoneticPr fontId="1" type="noConversion"/>
  </si>
  <si>
    <t>사원명</t>
    <phoneticPr fontId="1" type="noConversion"/>
  </si>
  <si>
    <t>예약일자</t>
    <phoneticPr fontId="1" type="noConversion"/>
  </si>
  <si>
    <t>예약인원</t>
    <phoneticPr fontId="1" type="noConversion"/>
  </si>
  <si>
    <t>노경호</t>
    <phoneticPr fontId="1" type="noConversion"/>
  </si>
  <si>
    <t>사원별 판매 실적</t>
    <phoneticPr fontId="1" type="noConversion"/>
  </si>
  <si>
    <t>K리그 순위</t>
    <phoneticPr fontId="1" type="noConversion"/>
  </si>
  <si>
    <t>사원코드</t>
    <phoneticPr fontId="1" type="noConversion"/>
  </si>
  <si>
    <t>부서</t>
    <phoneticPr fontId="1" type="noConversion"/>
  </si>
  <si>
    <t>4월</t>
    <phoneticPr fontId="1" type="noConversion"/>
  </si>
  <si>
    <t>5월</t>
    <phoneticPr fontId="1" type="noConversion"/>
  </si>
  <si>
    <t>6월</t>
    <phoneticPr fontId="1" type="noConversion"/>
  </si>
  <si>
    <t>구단명</t>
    <phoneticPr fontId="1" type="noConversion"/>
  </si>
  <si>
    <t>승</t>
    <phoneticPr fontId="1" type="noConversion"/>
  </si>
  <si>
    <t>무</t>
    <phoneticPr fontId="1" type="noConversion"/>
  </si>
  <si>
    <t>패</t>
    <phoneticPr fontId="1" type="noConversion"/>
  </si>
  <si>
    <t>승점</t>
    <phoneticPr fontId="1" type="noConversion"/>
  </si>
  <si>
    <t>최종결과</t>
    <phoneticPr fontId="1" type="noConversion"/>
  </si>
  <si>
    <t>DS-351</t>
    <phoneticPr fontId="1" type="noConversion"/>
  </si>
  <si>
    <t>영업1팀</t>
    <phoneticPr fontId="1" type="noConversion"/>
  </si>
  <si>
    <t>서울FC</t>
    <phoneticPr fontId="1" type="noConversion"/>
  </si>
  <si>
    <t>DS-932</t>
    <phoneticPr fontId="1" type="noConversion"/>
  </si>
  <si>
    <t>영업2팀</t>
    <phoneticPr fontId="1" type="noConversion"/>
  </si>
  <si>
    <t>강원FC</t>
    <phoneticPr fontId="1" type="noConversion"/>
  </si>
  <si>
    <t>DS-667</t>
    <phoneticPr fontId="1" type="noConversion"/>
  </si>
  <si>
    <t>인천FC</t>
    <phoneticPr fontId="1" type="noConversion"/>
  </si>
  <si>
    <t>DS-804</t>
    <phoneticPr fontId="1" type="noConversion"/>
  </si>
  <si>
    <t>전북FC</t>
    <phoneticPr fontId="1" type="noConversion"/>
  </si>
  <si>
    <t>DS-272</t>
    <phoneticPr fontId="1" type="noConversion"/>
  </si>
  <si>
    <t>상주FC</t>
    <phoneticPr fontId="1" type="noConversion"/>
  </si>
  <si>
    <t>DS-683</t>
    <phoneticPr fontId="1" type="noConversion"/>
  </si>
  <si>
    <t>수원FC</t>
    <phoneticPr fontId="1" type="noConversion"/>
  </si>
  <si>
    <t>DS-550</t>
    <phoneticPr fontId="1" type="noConversion"/>
  </si>
  <si>
    <t>포항FC</t>
    <phoneticPr fontId="1" type="noConversion"/>
  </si>
  <si>
    <t>DS-964</t>
    <phoneticPr fontId="1" type="noConversion"/>
  </si>
  <si>
    <t>울산FC</t>
    <phoneticPr fontId="1" type="noConversion"/>
  </si>
  <si>
    <t>영업1팀 4월, 5월 평균 실적 차이</t>
    <phoneticPr fontId="1" type="noConversion"/>
  </si>
  <si>
    <t>대구FC</t>
    <phoneticPr fontId="1" type="noConversion"/>
  </si>
  <si>
    <t>신입사원 관리</t>
    <phoneticPr fontId="1" type="noConversion"/>
  </si>
  <si>
    <t>&lt;부서코드표&gt;</t>
    <phoneticPr fontId="1" type="noConversion"/>
  </si>
  <si>
    <t>[표4]</t>
    <phoneticPr fontId="1" type="noConversion"/>
  </si>
  <si>
    <t>제품출고 현황</t>
    <phoneticPr fontId="1" type="noConversion"/>
  </si>
  <si>
    <t>임시코드</t>
    <phoneticPr fontId="1" type="noConversion"/>
  </si>
  <si>
    <t>코드</t>
    <phoneticPr fontId="1" type="noConversion"/>
  </si>
  <si>
    <t>제품</t>
    <phoneticPr fontId="1" type="noConversion"/>
  </si>
  <si>
    <t>구분코드</t>
    <phoneticPr fontId="1" type="noConversion"/>
  </si>
  <si>
    <t>출고가</t>
    <phoneticPr fontId="1" type="noConversion"/>
  </si>
  <si>
    <t>출고량</t>
    <phoneticPr fontId="1" type="noConversion"/>
  </si>
  <si>
    <t>출고일자</t>
    <phoneticPr fontId="1" type="noConversion"/>
  </si>
  <si>
    <t>전윤주</t>
  </si>
  <si>
    <t>p58482</t>
    <phoneticPr fontId="1" type="noConversion"/>
  </si>
  <si>
    <t>p</t>
    <phoneticPr fontId="1" type="noConversion"/>
  </si>
  <si>
    <t>planning</t>
    <phoneticPr fontId="1" type="noConversion"/>
  </si>
  <si>
    <t>원피스</t>
    <phoneticPr fontId="1" type="noConversion"/>
  </si>
  <si>
    <t>4월2일</t>
  </si>
  <si>
    <t>이아현</t>
    <phoneticPr fontId="1" type="noConversion"/>
  </si>
  <si>
    <t>f40175</t>
    <phoneticPr fontId="1" type="noConversion"/>
  </si>
  <si>
    <t>l</t>
    <phoneticPr fontId="1" type="noConversion"/>
  </si>
  <si>
    <t>logistics</t>
    <phoneticPr fontId="1" type="noConversion"/>
  </si>
  <si>
    <t>구두</t>
    <phoneticPr fontId="1" type="noConversion"/>
  </si>
  <si>
    <t>박대인</t>
  </si>
  <si>
    <t>l93647</t>
    <phoneticPr fontId="1" type="noConversion"/>
  </si>
  <si>
    <t>s</t>
    <phoneticPr fontId="1" type="noConversion"/>
  </si>
  <si>
    <t>sales</t>
    <phoneticPr fontId="1" type="noConversion"/>
  </si>
  <si>
    <t>스커트</t>
    <phoneticPr fontId="1" type="noConversion"/>
  </si>
  <si>
    <t>문정은</t>
  </si>
  <si>
    <t>f38466</t>
    <phoneticPr fontId="1" type="noConversion"/>
  </si>
  <si>
    <t>f</t>
    <phoneticPr fontId="1" type="noConversion"/>
  </si>
  <si>
    <t>finance</t>
    <phoneticPr fontId="1" type="noConversion"/>
  </si>
  <si>
    <t>모자</t>
    <phoneticPr fontId="1" type="noConversion"/>
  </si>
  <si>
    <t>4월8일</t>
  </si>
  <si>
    <t>조수연</t>
  </si>
  <si>
    <t>s75801</t>
    <phoneticPr fontId="1" type="noConversion"/>
  </si>
  <si>
    <t>운동화</t>
    <phoneticPr fontId="1" type="noConversion"/>
  </si>
  <si>
    <t>양이윤</t>
  </si>
  <si>
    <t>p20079</t>
    <phoneticPr fontId="1" type="noConversion"/>
  </si>
  <si>
    <t>지갑</t>
    <phoneticPr fontId="1" type="noConversion"/>
  </si>
  <si>
    <t>신승윤</t>
  </si>
  <si>
    <t>l10663</t>
    <phoneticPr fontId="1" type="noConversion"/>
  </si>
  <si>
    <t>청바지</t>
    <phoneticPr fontId="1" type="noConversion"/>
  </si>
  <si>
    <t>안범준</t>
  </si>
  <si>
    <t>s67168</t>
    <phoneticPr fontId="1" type="noConversion"/>
  </si>
  <si>
    <t>면바지</t>
    <phoneticPr fontId="1" type="noConversion"/>
  </si>
  <si>
    <t>4월16일</t>
  </si>
  <si>
    <t>김은소</t>
    <phoneticPr fontId="1" type="noConversion"/>
  </si>
  <si>
    <t>p82011</t>
    <phoneticPr fontId="1" type="noConversion"/>
  </si>
  <si>
    <t>벨트</t>
    <phoneticPr fontId="1" type="noConversion"/>
  </si>
  <si>
    <t>스니커즈</t>
    <phoneticPr fontId="1" type="noConversion"/>
  </si>
  <si>
    <t>[표5]</t>
    <phoneticPr fontId="1" type="noConversion"/>
  </si>
  <si>
    <t>일기예보 현황</t>
    <phoneticPr fontId="1" type="noConversion"/>
  </si>
  <si>
    <t>빈도가 가장 높은 제품 수</t>
    <phoneticPr fontId="1" type="noConversion"/>
  </si>
  <si>
    <t>날짜</t>
    <phoneticPr fontId="1" type="noConversion"/>
  </si>
  <si>
    <t>최저</t>
    <phoneticPr fontId="1" type="noConversion"/>
  </si>
  <si>
    <t>최고</t>
    <phoneticPr fontId="1" type="noConversion"/>
  </si>
  <si>
    <t>강수량</t>
    <phoneticPr fontId="1" type="noConversion"/>
  </si>
  <si>
    <t>나들이</t>
    <phoneticPr fontId="1" type="noConversion"/>
  </si>
  <si>
    <t>상공컨벤션 예약 현황</t>
    <phoneticPr fontId="1" type="noConversion"/>
  </si>
  <si>
    <t>사원평가표</t>
    <phoneticPr fontId="1" type="noConversion"/>
  </si>
  <si>
    <t>예약코드</t>
    <phoneticPr fontId="1" type="noConversion"/>
  </si>
  <si>
    <t>구분</t>
    <phoneticPr fontId="1" type="noConversion"/>
  </si>
  <si>
    <t>할인율</t>
    <phoneticPr fontId="1" type="noConversion"/>
  </si>
  <si>
    <t>실적</t>
    <phoneticPr fontId="1" type="noConversion"/>
  </si>
  <si>
    <t>평가</t>
    <phoneticPr fontId="1" type="noConversion"/>
  </si>
  <si>
    <t>1-K-24</t>
    <phoneticPr fontId="1" type="noConversion"/>
  </si>
  <si>
    <t>이벤트</t>
    <phoneticPr fontId="1" type="noConversion"/>
  </si>
  <si>
    <t>최소희</t>
  </si>
  <si>
    <t>3-R-48</t>
    <phoneticPr fontId="1" type="noConversion"/>
  </si>
  <si>
    <t>세미나</t>
    <phoneticPr fontId="1" type="noConversion"/>
  </si>
  <si>
    <t>조채아</t>
  </si>
  <si>
    <t>1-R-72</t>
    <phoneticPr fontId="1" type="noConversion"/>
  </si>
  <si>
    <t>고아지</t>
  </si>
  <si>
    <t>3-K-18</t>
    <phoneticPr fontId="1" type="noConversion"/>
  </si>
  <si>
    <t>손호준</t>
    <phoneticPr fontId="1" type="noConversion"/>
  </si>
  <si>
    <t>1-R-39</t>
    <phoneticPr fontId="1" type="noConversion"/>
  </si>
  <si>
    <t>허은우</t>
  </si>
  <si>
    <t>1-K-88</t>
    <phoneticPr fontId="1" type="noConversion"/>
  </si>
  <si>
    <t>황지성</t>
    <phoneticPr fontId="1" type="noConversion"/>
  </si>
  <si>
    <t>3-K-62</t>
    <phoneticPr fontId="1" type="noConversion"/>
  </si>
  <si>
    <t>기업회의</t>
    <phoneticPr fontId="1" type="noConversion"/>
  </si>
  <si>
    <t>송도원</t>
  </si>
  <si>
    <t>3-R-90</t>
    <phoneticPr fontId="1" type="noConversion"/>
  </si>
  <si>
    <t>양주희</t>
    <phoneticPr fontId="1" type="noConversion"/>
  </si>
  <si>
    <t>1-K-55</t>
    <phoneticPr fontId="1" type="noConversion"/>
  </si>
  <si>
    <t>김성한</t>
    <phoneticPr fontId="1" type="noConversion"/>
  </si>
  <si>
    <t>일일 매출 현황</t>
    <phoneticPr fontId="1" type="noConversion"/>
  </si>
  <si>
    <t>&lt;평가기준표&gt;</t>
    <phoneticPr fontId="1" type="noConversion"/>
  </si>
  <si>
    <t>분류</t>
    <phoneticPr fontId="1" type="noConversion"/>
  </si>
  <si>
    <t>제품명</t>
    <phoneticPr fontId="1" type="noConversion"/>
  </si>
  <si>
    <t>수량</t>
    <phoneticPr fontId="1" type="noConversion"/>
  </si>
  <si>
    <t>매출액</t>
    <phoneticPr fontId="1" type="noConversion"/>
  </si>
  <si>
    <t>순위</t>
    <phoneticPr fontId="1" type="noConversion"/>
  </si>
  <si>
    <t>생활용품</t>
    <phoneticPr fontId="1" type="noConversion"/>
  </si>
  <si>
    <t>종이컵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</si>
  <si>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</si>
  <si>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</si>
  <si>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</si>
  <si>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</si>
  <si>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사무용품</t>
    <phoneticPr fontId="1" type="noConversion"/>
  </si>
  <si>
    <t>포스트잇</t>
    <phoneticPr fontId="1" type="noConversion"/>
  </si>
  <si>
    <t>테이프</t>
    <phoneticPr fontId="1" type="noConversion"/>
  </si>
  <si>
    <t>가위</t>
    <phoneticPr fontId="1" type="noConversion"/>
  </si>
  <si>
    <t>물티슈</t>
    <phoneticPr fontId="1" type="noConversion"/>
  </si>
  <si>
    <t>화장지</t>
    <phoneticPr fontId="1" type="noConversion"/>
  </si>
  <si>
    <t>볼펜</t>
    <phoneticPr fontId="1" type="noConversion"/>
  </si>
  <si>
    <t>건전지</t>
    <phoneticPr fontId="1" type="noConversion"/>
  </si>
  <si>
    <t>사무용품 매출액 평균</t>
    <phoneticPr fontId="1" type="noConversion"/>
  </si>
  <si>
    <t>박스오피스</t>
    <phoneticPr fontId="1" type="noConversion"/>
  </si>
  <si>
    <t>자동차 정보</t>
    <phoneticPr fontId="1" type="noConversion"/>
  </si>
  <si>
    <t>(단위 : 만원)</t>
    <phoneticPr fontId="1" type="noConversion"/>
  </si>
  <si>
    <t>영화명</t>
    <phoneticPr fontId="1" type="noConversion"/>
  </si>
  <si>
    <t>평점</t>
    <phoneticPr fontId="1" type="noConversion"/>
  </si>
  <si>
    <t>관객수</t>
    <phoneticPr fontId="1" type="noConversion"/>
  </si>
  <si>
    <t>모델명</t>
    <phoneticPr fontId="1" type="noConversion"/>
  </si>
  <si>
    <t>연료</t>
    <phoneticPr fontId="1" type="noConversion"/>
  </si>
  <si>
    <t>연비</t>
    <phoneticPr fontId="1" type="noConversion"/>
  </si>
  <si>
    <t>가격</t>
    <phoneticPr fontId="1" type="noConversion"/>
  </si>
  <si>
    <t>극한도시</t>
    <phoneticPr fontId="1" type="noConversion"/>
  </si>
  <si>
    <t>15세 이상</t>
    <phoneticPr fontId="1" type="noConversion"/>
  </si>
  <si>
    <t>스타디아</t>
    <phoneticPr fontId="1" type="noConversion"/>
  </si>
  <si>
    <t>휘발유</t>
    <phoneticPr fontId="1" type="noConversion"/>
  </si>
  <si>
    <t>슈가보이</t>
    <phoneticPr fontId="1" type="noConversion"/>
  </si>
  <si>
    <t>전체</t>
    <phoneticPr fontId="1" type="noConversion"/>
  </si>
  <si>
    <t>카니윤</t>
    <phoneticPr fontId="1" type="noConversion"/>
  </si>
  <si>
    <t>경유</t>
    <phoneticPr fontId="1" type="noConversion"/>
  </si>
  <si>
    <t>신의정원</t>
    <phoneticPr fontId="1" type="noConversion"/>
  </si>
  <si>
    <t>크나</t>
    <phoneticPr fontId="1" type="noConversion"/>
  </si>
  <si>
    <t>전기</t>
    <phoneticPr fontId="1" type="noConversion"/>
  </si>
  <si>
    <t>스턴트</t>
    <phoneticPr fontId="1" type="noConversion"/>
  </si>
  <si>
    <t>아이오</t>
    <phoneticPr fontId="1" type="noConversion"/>
  </si>
  <si>
    <t>지구탈출</t>
    <phoneticPr fontId="1" type="noConversion"/>
  </si>
  <si>
    <t>12세 이상</t>
    <phoneticPr fontId="1" type="noConversion"/>
  </si>
  <si>
    <t>다나타</t>
    <phoneticPr fontId="1" type="noConversion"/>
  </si>
  <si>
    <t>더공조</t>
    <phoneticPr fontId="1" type="noConversion"/>
  </si>
  <si>
    <t>타싼</t>
    <phoneticPr fontId="1" type="noConversion"/>
  </si>
  <si>
    <t>분노의신</t>
    <phoneticPr fontId="1" type="noConversion"/>
  </si>
  <si>
    <t>아반스</t>
    <phoneticPr fontId="1" type="noConversion"/>
  </si>
  <si>
    <t>골드라인</t>
    <phoneticPr fontId="1" type="noConversion"/>
  </si>
  <si>
    <t>마티아</t>
    <phoneticPr fontId="1" type="noConversion"/>
  </si>
  <si>
    <t>연료가 휘발유인 자동차 중
연비가 가장 높은 모델명</t>
    <phoneticPr fontId="1" type="noConversion"/>
  </si>
  <si>
    <t>두남자</t>
    <phoneticPr fontId="1" type="noConversion"/>
  </si>
  <si>
    <t>투슬라</t>
    <phoneticPr fontId="1" type="noConversion"/>
  </si>
  <si>
    <t>관객수가 3,000,000 이상인 비율</t>
    <phoneticPr fontId="1" type="noConversion"/>
  </si>
  <si>
    <t>유리오</t>
    <phoneticPr fontId="1" type="noConversion"/>
  </si>
  <si>
    <t>신제품 홍보 현황</t>
    <phoneticPr fontId="1" type="noConversion"/>
  </si>
  <si>
    <t>지점 판매현황</t>
    <phoneticPr fontId="1" type="noConversion"/>
  </si>
  <si>
    <t>홍보예정일</t>
    <phoneticPr fontId="1" type="noConversion"/>
  </si>
  <si>
    <t>담당자</t>
    <phoneticPr fontId="1" type="noConversion"/>
  </si>
  <si>
    <t>보도자료</t>
    <phoneticPr fontId="1" type="noConversion"/>
  </si>
  <si>
    <t>지점</t>
    <phoneticPr fontId="1" type="noConversion"/>
  </si>
  <si>
    <t>판매량</t>
    <phoneticPr fontId="1" type="noConversion"/>
  </si>
  <si>
    <t>판매총액</t>
    <phoneticPr fontId="1" type="noConversion"/>
  </si>
  <si>
    <t>SN-5761</t>
    <phoneticPr fontId="1" type="noConversion"/>
  </si>
  <si>
    <t>조경원</t>
    <phoneticPr fontId="1" type="noConversion"/>
  </si>
  <si>
    <t>키보드</t>
    <phoneticPr fontId="1" type="noConversion"/>
  </si>
  <si>
    <t>마포</t>
    <phoneticPr fontId="1" type="noConversion"/>
  </si>
  <si>
    <t>SK-3814</t>
    <phoneticPr fontId="1" type="noConversion"/>
  </si>
  <si>
    <t>정은경</t>
    <phoneticPr fontId="1" type="noConversion"/>
  </si>
  <si>
    <t>용산</t>
    <phoneticPr fontId="1" type="noConversion"/>
  </si>
  <si>
    <t>SL-0336</t>
    <phoneticPr fontId="1" type="noConversion"/>
  </si>
  <si>
    <t>이부성</t>
    <phoneticPr fontId="1" type="noConversion"/>
  </si>
  <si>
    <t>서초</t>
    <phoneticPr fontId="1" type="noConversion"/>
  </si>
  <si>
    <t>SK-2398</t>
    <phoneticPr fontId="1" type="noConversion"/>
  </si>
  <si>
    <t>마우스</t>
    <phoneticPr fontId="1" type="noConversion"/>
  </si>
  <si>
    <t>SL-0409</t>
    <phoneticPr fontId="1" type="noConversion"/>
  </si>
  <si>
    <t>SN-4228</t>
    <phoneticPr fontId="1" type="noConversion"/>
  </si>
  <si>
    <t>SK-3911</t>
    <phoneticPr fontId="1" type="noConversion"/>
  </si>
  <si>
    <t>프린터</t>
    <phoneticPr fontId="1" type="noConversion"/>
  </si>
  <si>
    <t>SL-6570</t>
    <phoneticPr fontId="1" type="noConversion"/>
  </si>
  <si>
    <t>SN-2574</t>
    <phoneticPr fontId="1" type="noConversion"/>
  </si>
  <si>
    <t>SK-7013</t>
    <phoneticPr fontId="1" type="noConversion"/>
  </si>
  <si>
    <t>용산점 판매량 비율</t>
    <phoneticPr fontId="1" type="noConversion"/>
  </si>
  <si>
    <t>상공항공 예약 현황</t>
    <phoneticPr fontId="1" type="noConversion"/>
  </si>
  <si>
    <t>사원별 판매실적</t>
    <phoneticPr fontId="1" type="noConversion"/>
  </si>
  <si>
    <t>도착지</t>
    <phoneticPr fontId="1" type="noConversion"/>
  </si>
  <si>
    <t>인원</t>
    <phoneticPr fontId="1" type="noConversion"/>
  </si>
  <si>
    <t>좌석</t>
    <phoneticPr fontId="1" type="noConversion"/>
  </si>
  <si>
    <t>OP-1-93</t>
    <phoneticPr fontId="1" type="noConversion"/>
  </si>
  <si>
    <t>로마</t>
    <phoneticPr fontId="1" type="noConversion"/>
  </si>
  <si>
    <t>김가은</t>
  </si>
  <si>
    <t>OP-1-57</t>
    <phoneticPr fontId="1" type="noConversion"/>
  </si>
  <si>
    <t>하와이</t>
    <phoneticPr fontId="1" type="noConversion"/>
  </si>
  <si>
    <t>윤주헌</t>
  </si>
  <si>
    <t>OP-3-22</t>
    <phoneticPr fontId="1" type="noConversion"/>
  </si>
  <si>
    <t>몽골</t>
    <phoneticPr fontId="1" type="noConversion"/>
  </si>
  <si>
    <t>한원우</t>
  </si>
  <si>
    <t>OP-2-61</t>
    <phoneticPr fontId="1" type="noConversion"/>
  </si>
  <si>
    <t>두바이</t>
    <phoneticPr fontId="1" type="noConversion"/>
  </si>
  <si>
    <t>한미진</t>
    <phoneticPr fontId="1" type="noConversion"/>
  </si>
  <si>
    <t>OP-1-16</t>
    <phoneticPr fontId="1" type="noConversion"/>
  </si>
  <si>
    <t>오사카</t>
    <phoneticPr fontId="1" type="noConversion"/>
  </si>
  <si>
    <t>이은경</t>
    <phoneticPr fontId="1" type="noConversion"/>
  </si>
  <si>
    <t>OP-2-29</t>
    <phoneticPr fontId="1" type="noConversion"/>
  </si>
  <si>
    <t>파리</t>
    <phoneticPr fontId="1" type="noConversion"/>
  </si>
  <si>
    <t>정상혁</t>
  </si>
  <si>
    <t>OP-3-81</t>
    <phoneticPr fontId="1" type="noConversion"/>
  </si>
  <si>
    <t>뉴욕</t>
    <phoneticPr fontId="1" type="noConversion"/>
  </si>
  <si>
    <t>OP-2-09</t>
    <phoneticPr fontId="1" type="noConversion"/>
  </si>
  <si>
    <t>사이판</t>
    <phoneticPr fontId="1" type="noConversion"/>
  </si>
  <si>
    <t>OP-1-84</t>
    <phoneticPr fontId="1" type="noConversion"/>
  </si>
  <si>
    <t>다낭</t>
    <phoneticPr fontId="1" type="noConversion"/>
  </si>
  <si>
    <t>강소정</t>
    <phoneticPr fontId="1" type="noConversion"/>
  </si>
  <si>
    <t>OP-1-70</t>
    <phoneticPr fontId="1" type="noConversion"/>
  </si>
  <si>
    <t>푸켓</t>
    <phoneticPr fontId="1" type="noConversion"/>
  </si>
  <si>
    <t>최대실적평균</t>
    <phoneticPr fontId="1" type="noConversion"/>
  </si>
  <si>
    <t>회원 관리 현황</t>
    <phoneticPr fontId="1" type="noConversion"/>
  </si>
  <si>
    <t>&lt;구분코드표&gt;</t>
    <phoneticPr fontId="1" type="noConversion"/>
  </si>
  <si>
    <t>생년월일</t>
    <phoneticPr fontId="1" type="noConversion"/>
  </si>
  <si>
    <t>회원코드</t>
    <phoneticPr fontId="1" type="noConversion"/>
  </si>
  <si>
    <t>송윤진</t>
  </si>
  <si>
    <t>B1</t>
    <phoneticPr fontId="1" type="noConversion"/>
  </si>
  <si>
    <t>D1</t>
    <phoneticPr fontId="1" type="noConversion"/>
  </si>
  <si>
    <t>mas1</t>
    <phoneticPr fontId="1" type="noConversion"/>
  </si>
  <si>
    <t>주시아</t>
    <phoneticPr fontId="1" type="noConversion"/>
  </si>
  <si>
    <t>A1</t>
    <phoneticPr fontId="1" type="noConversion"/>
  </si>
  <si>
    <t>D2</t>
    <phoneticPr fontId="1" type="noConversion"/>
  </si>
  <si>
    <t>mas2</t>
    <phoneticPr fontId="1" type="noConversion"/>
  </si>
  <si>
    <t>강은찬</t>
  </si>
  <si>
    <t>C1</t>
    <phoneticPr fontId="1" type="noConversion"/>
  </si>
  <si>
    <t>fri1</t>
    <phoneticPr fontId="1" type="noConversion"/>
  </si>
  <si>
    <t>전주린</t>
    <phoneticPr fontId="1" type="noConversion"/>
  </si>
  <si>
    <t>C2</t>
    <phoneticPr fontId="1" type="noConversion"/>
  </si>
  <si>
    <t>fri2</t>
    <phoneticPr fontId="1" type="noConversion"/>
  </si>
  <si>
    <t>최세현</t>
  </si>
  <si>
    <t>man1</t>
    <phoneticPr fontId="1" type="noConversion"/>
  </si>
  <si>
    <t>이대로</t>
    <phoneticPr fontId="1" type="noConversion"/>
  </si>
  <si>
    <t>B2</t>
    <phoneticPr fontId="1" type="noConversion"/>
  </si>
  <si>
    <t>man2</t>
    <phoneticPr fontId="1" type="noConversion"/>
  </si>
  <si>
    <t>배상엽</t>
  </si>
  <si>
    <t>A2</t>
    <phoneticPr fontId="1" type="noConversion"/>
  </si>
  <si>
    <t>fam1</t>
    <phoneticPr fontId="1" type="noConversion"/>
  </si>
  <si>
    <t>오남규</t>
    <phoneticPr fontId="1" type="noConversion"/>
  </si>
  <si>
    <t>fam2</t>
    <phoneticPr fontId="1" type="noConversion"/>
  </si>
  <si>
    <t>장비 대여 현황</t>
    <phoneticPr fontId="1" type="noConversion"/>
  </si>
  <si>
    <t>선수별 평점</t>
    <phoneticPr fontId="1" type="noConversion"/>
  </si>
  <si>
    <t>장비코드</t>
    <phoneticPr fontId="1" type="noConversion"/>
  </si>
  <si>
    <t>대여일자</t>
    <phoneticPr fontId="1" type="noConversion"/>
  </si>
  <si>
    <t>반납예정일자</t>
    <phoneticPr fontId="1" type="noConversion"/>
  </si>
  <si>
    <t>클럽</t>
    <phoneticPr fontId="1" type="noConversion"/>
  </si>
  <si>
    <t>포지션</t>
    <phoneticPr fontId="1" type="noConversion"/>
  </si>
  <si>
    <t>선수명</t>
    <phoneticPr fontId="1" type="noConversion"/>
  </si>
  <si>
    <t>HER962</t>
    <phoneticPr fontId="1" type="noConversion"/>
  </si>
  <si>
    <t>포항</t>
    <phoneticPr fontId="1" type="noConversion"/>
  </si>
  <si>
    <t>수비수</t>
    <phoneticPr fontId="1" type="noConversion"/>
  </si>
  <si>
    <t>윤보경</t>
    <phoneticPr fontId="1" type="noConversion"/>
  </si>
  <si>
    <t>KMD238</t>
    <phoneticPr fontId="1" type="noConversion"/>
  </si>
  <si>
    <t>대전</t>
    <phoneticPr fontId="1" type="noConversion"/>
  </si>
  <si>
    <t>공격수</t>
    <phoneticPr fontId="1" type="noConversion"/>
  </si>
  <si>
    <t>이정환</t>
    <phoneticPr fontId="1" type="noConversion"/>
  </si>
  <si>
    <t>GJW183</t>
    <phoneticPr fontId="1" type="noConversion"/>
  </si>
  <si>
    <t>이태용</t>
    <phoneticPr fontId="1" type="noConversion"/>
  </si>
  <si>
    <t>PSL725</t>
    <phoneticPr fontId="1" type="noConversion"/>
  </si>
  <si>
    <t>강명보</t>
    <phoneticPr fontId="1" type="noConversion"/>
  </si>
  <si>
    <t>BWC651</t>
    <phoneticPr fontId="1" type="noConversion"/>
  </si>
  <si>
    <t>황재준</t>
    <phoneticPr fontId="1" type="noConversion"/>
  </si>
  <si>
    <t>MBA401</t>
    <phoneticPr fontId="1" type="noConversion"/>
  </si>
  <si>
    <t>손승민</t>
    <phoneticPr fontId="1" type="noConversion"/>
  </si>
  <si>
    <t>KIH390</t>
    <phoneticPr fontId="1" type="noConversion"/>
  </si>
  <si>
    <t>김민우</t>
    <phoneticPr fontId="1" type="noConversion"/>
  </si>
  <si>
    <t>대전수비수 평점 평균</t>
    <phoneticPr fontId="1" type="noConversion"/>
  </si>
  <si>
    <t>SET077</t>
    <phoneticPr fontId="1" type="noConversion"/>
  </si>
  <si>
    <t>김지성</t>
    <phoneticPr fontId="1" type="noConversion"/>
  </si>
  <si>
    <t>제품 납품 현황</t>
    <phoneticPr fontId="1" type="noConversion"/>
  </si>
  <si>
    <t>1학기 성적표</t>
    <phoneticPr fontId="1" type="noConversion"/>
  </si>
  <si>
    <t>납품일자</t>
    <phoneticPr fontId="1" type="noConversion"/>
  </si>
  <si>
    <t>거래처명</t>
    <phoneticPr fontId="1" type="noConversion"/>
  </si>
  <si>
    <t>납품량</t>
    <phoneticPr fontId="1" type="noConversion"/>
  </si>
  <si>
    <t>납품총액</t>
    <phoneticPr fontId="1" type="noConversion"/>
  </si>
  <si>
    <t>과학기술</t>
    <phoneticPr fontId="1" type="noConversion"/>
  </si>
  <si>
    <t>문화예술</t>
    <phoneticPr fontId="1" type="noConversion"/>
  </si>
  <si>
    <t>역사철학</t>
    <phoneticPr fontId="1" type="noConversion"/>
  </si>
  <si>
    <t>학점</t>
    <phoneticPr fontId="1" type="noConversion"/>
  </si>
  <si>
    <t>7월23일</t>
    <phoneticPr fontId="1" type="noConversion"/>
  </si>
  <si>
    <t>하나전자</t>
    <phoneticPr fontId="1" type="noConversion"/>
  </si>
  <si>
    <t>김두완</t>
    <phoneticPr fontId="1" type="noConversion"/>
  </si>
  <si>
    <t>우리전자</t>
    <phoneticPr fontId="1" type="noConversion"/>
  </si>
  <si>
    <t>박영재</t>
  </si>
  <si>
    <t>상공전자</t>
    <phoneticPr fontId="1" type="noConversion"/>
  </si>
  <si>
    <t>이지환</t>
    <phoneticPr fontId="1" type="noConversion"/>
  </si>
  <si>
    <t>7월30일</t>
    <phoneticPr fontId="1" type="noConversion"/>
  </si>
  <si>
    <t>전서혜</t>
    <phoneticPr fontId="1" type="noConversion"/>
  </si>
  <si>
    <t>유가온</t>
    <phoneticPr fontId="1" type="noConversion"/>
  </si>
  <si>
    <t>8월3일</t>
    <phoneticPr fontId="1" type="noConversion"/>
  </si>
  <si>
    <t>진성전자</t>
    <phoneticPr fontId="1" type="noConversion"/>
  </si>
  <si>
    <t>권도현</t>
  </si>
  <si>
    <t>배재현</t>
  </si>
  <si>
    <t>8월10일</t>
    <phoneticPr fontId="1" type="noConversion"/>
  </si>
  <si>
    <t>김영택</t>
    <phoneticPr fontId="1" type="noConversion"/>
  </si>
  <si>
    <t>권애린</t>
    <phoneticPr fontId="1" type="noConversion"/>
  </si>
  <si>
    <t>최대-최소 납품총액 차이</t>
    <phoneticPr fontId="1" type="noConversion"/>
  </si>
  <si>
    <t>조종연</t>
    <phoneticPr fontId="1" type="noConversion"/>
  </si>
  <si>
    <t>수험자 정보</t>
    <phoneticPr fontId="1" type="noConversion"/>
  </si>
  <si>
    <t>&lt;종목번호표&gt;</t>
    <phoneticPr fontId="1" type="noConversion"/>
  </si>
  <si>
    <t>수험번호</t>
    <phoneticPr fontId="1" type="noConversion"/>
  </si>
  <si>
    <t>시험장</t>
    <phoneticPr fontId="1" type="noConversion"/>
  </si>
  <si>
    <t>날짜-종목</t>
    <phoneticPr fontId="1" type="noConversion"/>
  </si>
  <si>
    <t>번호</t>
    <phoneticPr fontId="1" type="noConversion"/>
  </si>
  <si>
    <t>종목</t>
    <phoneticPr fontId="1" type="noConversion"/>
  </si>
  <si>
    <t>서재영</t>
    <phoneticPr fontId="1" type="noConversion"/>
  </si>
  <si>
    <t>1실</t>
    <phoneticPr fontId="1" type="noConversion"/>
  </si>
  <si>
    <t>워드</t>
    <phoneticPr fontId="1" type="noConversion"/>
  </si>
  <si>
    <t>윤은찬</t>
  </si>
  <si>
    <t>2실</t>
    <phoneticPr fontId="1" type="noConversion"/>
  </si>
  <si>
    <t>컴활1급</t>
    <phoneticPr fontId="1" type="noConversion"/>
  </si>
  <si>
    <t>전태원</t>
  </si>
  <si>
    <t>컴활2급</t>
    <phoneticPr fontId="1" type="noConversion"/>
  </si>
  <si>
    <t>송은주</t>
    <phoneticPr fontId="1" type="noConversion"/>
  </si>
  <si>
    <t>문진영</t>
  </si>
  <si>
    <t>3실</t>
    <phoneticPr fontId="1" type="noConversion"/>
  </si>
  <si>
    <t>백현준</t>
  </si>
  <si>
    <t>장세현</t>
  </si>
  <si>
    <t>김진아</t>
  </si>
  <si>
    <t>우영희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</si>
</sst>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#,##0.00_ 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b/>
      <sz val="11"/>
      <color indexed="8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7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5" fillId="0" borderId="0"/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7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41" fontId="0" fillId="0" borderId="1" xfId="1" applyFont="1" applyBorder="1">
      <alignment vertical="center"/>
    </xf>
    <xf numFmtId="9" fontId="0" fillId="0" borderId="1" xfId="0" applyNumberFormat="1" applyBorder="1" applyAlignment="1">
      <alignment horizontal="center" vertical="center"/>
    </xf>
    <xf numFmtId="21" fontId="0" fillId="0" borderId="1" xfId="0" applyNumberFormat="1" applyBorder="1" applyAlignment="1">
      <alignment horizontal="center" vertical="center"/>
    </xf>
    <xf numFmtId="0" fontId="6" fillId="0" borderId="0" xfId="0" applyFont="1">
      <alignment vertical="center"/>
    </xf>
    <xf numFmtId="176" fontId="0" fillId="0" borderId="1" xfId="1" applyNumberFormat="1" applyFont="1" applyBorder="1" applyAlignment="1">
      <alignment horizontal="right" vertical="center"/>
    </xf>
    <xf numFmtId="10" fontId="0" fillId="0" borderId="1" xfId="0" applyNumberFormat="1" applyBorder="1" applyAlignment="1">
      <alignment horizontal="center" vertical="center"/>
    </xf>
    <xf numFmtId="177" fontId="0" fillId="0" borderId="1" xfId="1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4" applyBorder="1" applyAlignment="1">
      <alignment horizontal="center" vertical="center"/>
    </xf>
    <xf numFmtId="0" fontId="2" fillId="2" borderId="1" xfId="4" applyFill="1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9" fontId="0" fillId="0" borderId="1" xfId="3" applyFont="1" applyBorder="1" applyAlignment="1">
      <alignment horizontal="center" vertical="center"/>
    </xf>
    <xf numFmtId="0" fontId="6" fillId="0" borderId="0" xfId="5" applyFont="1">
      <alignment vertical="center"/>
    </xf>
    <xf numFmtId="0" fontId="8" fillId="0" borderId="0" xfId="5" applyFont="1">
      <alignment vertical="center"/>
    </xf>
    <xf numFmtId="0" fontId="2" fillId="0" borderId="0" xfId="4">
      <alignment vertical="center"/>
    </xf>
    <xf numFmtId="0" fontId="7" fillId="0" borderId="0" xfId="5">
      <alignment vertical="center"/>
    </xf>
    <xf numFmtId="0" fontId="7" fillId="0" borderId="1" xfId="5" applyBorder="1" applyAlignment="1">
      <alignment horizontal="center" vertical="center"/>
    </xf>
    <xf numFmtId="41" fontId="0" fillId="0" borderId="1" xfId="6" applyFont="1" applyBorder="1" applyAlignment="1">
      <alignment horizontal="center" vertical="center"/>
    </xf>
    <xf numFmtId="0" fontId="0" fillId="0" borderId="1" xfId="6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2" fillId="2" borderId="2" xfId="4" applyFill="1" applyBorder="1" applyAlignment="1">
      <alignment horizontal="center" vertical="center"/>
    </xf>
    <xf numFmtId="0" fontId="2" fillId="2" borderId="4" xfId="4" applyFill="1" applyBorder="1" applyAlignment="1">
      <alignment horizontal="center" vertical="center"/>
    </xf>
    <xf numFmtId="0" fontId="2" fillId="2" borderId="3" xfId="4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7" fillId="2" borderId="2" xfId="5" applyFill="1" applyBorder="1" applyAlignment="1">
      <alignment horizontal="center" vertical="center"/>
    </xf>
    <xf numFmtId="0" fontId="7" fillId="2" borderId="4" xfId="5" applyFill="1" applyBorder="1" applyAlignment="1">
      <alignment horizontal="center" vertical="center"/>
    </xf>
    <xf numFmtId="0" fontId="7" fillId="2" borderId="3" xfId="5" applyFill="1" applyBorder="1" applyAlignment="1">
      <alignment horizontal="center" vertical="center"/>
    </xf>
    <xf numFmtId="41" fontId="0" fillId="0" borderId="2" xfId="1" applyFont="1" applyBorder="1" applyAlignment="1">
      <alignment horizontal="center" vertical="center"/>
    </xf>
    <xf numFmtId="41" fontId="0" fillId="0" borderId="4" xfId="1" applyFont="1" applyBorder="1" applyAlignment="1">
      <alignment horizontal="center" vertical="center"/>
    </xf>
    <xf numFmtId="41" fontId="0" fillId="0" borderId="3" xfId="1" applyFont="1" applyBorder="1" applyAlignment="1">
      <alignment horizontal="center" vertical="center"/>
    </xf>
  </cellXfs>
  <cellStyles count="7">
    <cellStyle name="백분율" xfId="3" builtinId="5"/>
    <cellStyle name="쉼표 [0]" xfId="1" builtinId="6"/>
    <cellStyle name="쉼표 [0] 8" xfId="6" xr:uid="{30242DC8-036A-4FDB-B8C8-75CD8A5D9533}"/>
    <cellStyle name="표준" xfId="0" builtinId="0"/>
    <cellStyle name="표준 2" xfId="2" xr:uid="{91F594BA-9AE6-4776-8261-692F2CACFC58}"/>
    <cellStyle name="표준 2 2" xfId="5" xr:uid="{E1E49417-40EC-4BC2-81D2-09E29398A655}"/>
    <cellStyle name="표준 9" xfId="4" xr:uid="{6F83EF76-9B68-46AC-8BBE-BE3538EA654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0A6D9-9205-4355-9CC7-E6A5F15AA2B7}">
  <dimension ref="A1:L35"/>
  <sheetViews>
    <sheetView tabSelected="1" workbookViewId="0"/>
  </sheetViews>
  <sheetFormatPr defaultRowHeight="17" x14ac:dyDescent="0.45"/>
  <cols>
    <col min="1" max="1" width="10.75" bestFit="1" customWidth="1"/>
    <col min="3" max="3" width="10.4140625" bestFit="1" customWidth="1"/>
    <col min="6" max="6" width="8.6640625" customWidth="1"/>
  </cols>
  <sheetData>
    <row r="1" spans="1:12" x14ac:dyDescent="0.45">
      <c r="A1" s="1" t="s">
        <v>0</v>
      </c>
      <c r="B1" s="2" t="s">
        <v>482</v>
      </c>
      <c r="G1" s="1" t="s">
        <v>476</v>
      </c>
      <c r="H1" s="2" t="s">
        <v>483</v>
      </c>
    </row>
    <row r="2" spans="1:12" x14ac:dyDescent="0.45">
      <c r="A2" s="19" t="s">
        <v>484</v>
      </c>
      <c r="B2" s="19" t="s">
        <v>485</v>
      </c>
      <c r="C2" s="19" t="s">
        <v>486</v>
      </c>
      <c r="D2" s="19" t="s">
        <v>487</v>
      </c>
      <c r="E2" s="19" t="s">
        <v>488</v>
      </c>
      <c r="G2" s="20" t="s">
        <v>489</v>
      </c>
      <c r="H2" s="20" t="s">
        <v>490</v>
      </c>
      <c r="I2" s="20" t="s">
        <v>491</v>
      </c>
      <c r="J2" s="20" t="s">
        <v>492</v>
      </c>
      <c r="K2" s="20" t="s">
        <v>493</v>
      </c>
      <c r="L2" s="21" t="s">
        <v>494</v>
      </c>
    </row>
    <row r="3" spans="1:12" x14ac:dyDescent="0.45">
      <c r="A3" s="19" t="s">
        <v>495</v>
      </c>
      <c r="B3" s="19" t="s">
        <v>496</v>
      </c>
      <c r="C3" s="6">
        <v>2534</v>
      </c>
      <c r="D3" s="6">
        <v>2463</v>
      </c>
      <c r="E3" s="6">
        <v>2954</v>
      </c>
      <c r="G3" s="20" t="s">
        <v>497</v>
      </c>
      <c r="H3" s="20">
        <v>15</v>
      </c>
      <c r="I3" s="20">
        <v>11</v>
      </c>
      <c r="J3" s="20">
        <v>12</v>
      </c>
      <c r="K3" s="20">
        <v>56</v>
      </c>
      <c r="L3" s="20"/>
    </row>
    <row r="4" spans="1:12" x14ac:dyDescent="0.45">
      <c r="A4" s="19" t="s">
        <v>498</v>
      </c>
      <c r="B4" s="19" t="s">
        <v>499</v>
      </c>
      <c r="C4" s="6">
        <v>5381</v>
      </c>
      <c r="D4" s="6">
        <v>5071</v>
      </c>
      <c r="E4" s="6">
        <v>4866</v>
      </c>
      <c r="G4" s="20" t="s">
        <v>500</v>
      </c>
      <c r="H4" s="20">
        <v>14</v>
      </c>
      <c r="I4" s="20">
        <v>8</v>
      </c>
      <c r="J4" s="20">
        <v>16</v>
      </c>
      <c r="K4" s="20">
        <v>50</v>
      </c>
      <c r="L4" s="20"/>
    </row>
    <row r="5" spans="1:12" x14ac:dyDescent="0.45">
      <c r="A5" s="19" t="s">
        <v>501</v>
      </c>
      <c r="B5" s="19" t="s">
        <v>496</v>
      </c>
      <c r="C5" s="6">
        <v>1967</v>
      </c>
      <c r="D5" s="6">
        <v>3549</v>
      </c>
      <c r="E5" s="6">
        <v>2672</v>
      </c>
      <c r="G5" s="20" t="s">
        <v>502</v>
      </c>
      <c r="H5" s="20">
        <v>9</v>
      </c>
      <c r="I5" s="20">
        <v>10</v>
      </c>
      <c r="J5" s="20">
        <v>19</v>
      </c>
      <c r="K5" s="20">
        <v>37</v>
      </c>
      <c r="L5" s="20"/>
    </row>
    <row r="6" spans="1:12" x14ac:dyDescent="0.45">
      <c r="A6" s="19" t="s">
        <v>503</v>
      </c>
      <c r="B6" s="19" t="s">
        <v>499</v>
      </c>
      <c r="C6" s="6">
        <v>2648</v>
      </c>
      <c r="D6" s="6">
        <v>2786</v>
      </c>
      <c r="E6" s="6">
        <v>3078</v>
      </c>
      <c r="G6" s="20" t="s">
        <v>504</v>
      </c>
      <c r="H6" s="20">
        <v>22</v>
      </c>
      <c r="I6" s="20">
        <v>13</v>
      </c>
      <c r="J6" s="20">
        <v>3</v>
      </c>
      <c r="K6" s="20">
        <v>79</v>
      </c>
      <c r="L6" s="20"/>
    </row>
    <row r="7" spans="1:12" x14ac:dyDescent="0.45">
      <c r="A7" s="19" t="s">
        <v>505</v>
      </c>
      <c r="B7" s="19" t="s">
        <v>496</v>
      </c>
      <c r="C7" s="6">
        <v>4259</v>
      </c>
      <c r="D7" s="6">
        <v>4862</v>
      </c>
      <c r="E7" s="6">
        <v>5037</v>
      </c>
      <c r="G7" s="20" t="s">
        <v>506</v>
      </c>
      <c r="H7" s="20">
        <v>16</v>
      </c>
      <c r="I7" s="20">
        <v>7</v>
      </c>
      <c r="J7" s="20">
        <v>15</v>
      </c>
      <c r="K7" s="20">
        <v>55</v>
      </c>
      <c r="L7" s="20"/>
    </row>
    <row r="8" spans="1:12" x14ac:dyDescent="0.45">
      <c r="A8" s="19" t="s">
        <v>507</v>
      </c>
      <c r="B8" s="19" t="s">
        <v>499</v>
      </c>
      <c r="C8" s="6">
        <v>3809</v>
      </c>
      <c r="D8" s="6">
        <v>3793</v>
      </c>
      <c r="E8" s="6">
        <v>3945</v>
      </c>
      <c r="G8" s="20" t="s">
        <v>508</v>
      </c>
      <c r="H8" s="20">
        <v>12</v>
      </c>
      <c r="I8" s="20">
        <v>12</v>
      </c>
      <c r="J8" s="20">
        <v>14</v>
      </c>
      <c r="K8" s="20">
        <v>48</v>
      </c>
      <c r="L8" s="20"/>
    </row>
    <row r="9" spans="1:12" x14ac:dyDescent="0.45">
      <c r="A9" s="19" t="s">
        <v>509</v>
      </c>
      <c r="B9" s="19" t="s">
        <v>499</v>
      </c>
      <c r="C9" s="6">
        <v>1661</v>
      </c>
      <c r="D9" s="6">
        <v>2158</v>
      </c>
      <c r="E9" s="6">
        <v>1998</v>
      </c>
      <c r="G9" s="20" t="s">
        <v>510</v>
      </c>
      <c r="H9" s="20">
        <v>16</v>
      </c>
      <c r="I9" s="20">
        <v>8</v>
      </c>
      <c r="J9" s="20">
        <v>14</v>
      </c>
      <c r="K9" s="20">
        <v>56</v>
      </c>
      <c r="L9" s="20"/>
    </row>
    <row r="10" spans="1:12" x14ac:dyDescent="0.45">
      <c r="A10" s="19" t="s">
        <v>511</v>
      </c>
      <c r="B10" s="19" t="s">
        <v>496</v>
      </c>
      <c r="C10" s="6">
        <v>3940</v>
      </c>
      <c r="D10" s="6">
        <v>3704</v>
      </c>
      <c r="E10" s="6">
        <v>3513</v>
      </c>
      <c r="G10" s="20" t="s">
        <v>512</v>
      </c>
      <c r="H10" s="20">
        <v>22</v>
      </c>
      <c r="I10" s="20">
        <v>10</v>
      </c>
      <c r="J10" s="20">
        <v>6</v>
      </c>
      <c r="K10" s="20">
        <v>76</v>
      </c>
      <c r="L10" s="20"/>
    </row>
    <row r="11" spans="1:12" x14ac:dyDescent="0.45">
      <c r="A11" s="33" t="s">
        <v>513</v>
      </c>
      <c r="B11" s="35"/>
      <c r="C11" s="35"/>
      <c r="D11" s="34"/>
      <c r="E11" s="10"/>
      <c r="G11" s="20" t="s">
        <v>514</v>
      </c>
      <c r="H11" s="20">
        <v>13</v>
      </c>
      <c r="I11" s="20">
        <v>16</v>
      </c>
      <c r="J11" s="20">
        <v>9</v>
      </c>
      <c r="K11" s="20">
        <v>55</v>
      </c>
      <c r="L11" s="20"/>
    </row>
    <row r="13" spans="1:12" x14ac:dyDescent="0.45">
      <c r="A13" s="1" t="s">
        <v>9</v>
      </c>
      <c r="B13" s="2" t="s">
        <v>515</v>
      </c>
      <c r="E13" s="37" t="s">
        <v>516</v>
      </c>
      <c r="F13" s="37"/>
      <c r="H13" s="1" t="s">
        <v>517</v>
      </c>
      <c r="I13" s="2" t="s">
        <v>518</v>
      </c>
    </row>
    <row r="14" spans="1:12" x14ac:dyDescent="0.45">
      <c r="A14" s="19" t="s">
        <v>478</v>
      </c>
      <c r="B14" s="19" t="s">
        <v>519</v>
      </c>
      <c r="C14" s="18" t="s">
        <v>30</v>
      </c>
      <c r="E14" s="19" t="s">
        <v>520</v>
      </c>
      <c r="F14" s="19" t="s">
        <v>30</v>
      </c>
      <c r="H14" s="19" t="s">
        <v>521</v>
      </c>
      <c r="I14" s="19" t="s">
        <v>522</v>
      </c>
      <c r="J14" s="19" t="s">
        <v>523</v>
      </c>
      <c r="K14" s="19" t="s">
        <v>524</v>
      </c>
      <c r="L14" s="19" t="s">
        <v>525</v>
      </c>
    </row>
    <row r="15" spans="1:12" x14ac:dyDescent="0.45">
      <c r="A15" s="19" t="s">
        <v>526</v>
      </c>
      <c r="B15" s="19" t="s">
        <v>527</v>
      </c>
      <c r="C15" s="19"/>
      <c r="E15" s="19" t="s">
        <v>528</v>
      </c>
      <c r="F15" s="19" t="s">
        <v>529</v>
      </c>
      <c r="H15" s="19" t="s">
        <v>530</v>
      </c>
      <c r="I15" s="19">
        <v>33</v>
      </c>
      <c r="J15" s="6">
        <v>34400</v>
      </c>
      <c r="K15" s="19">
        <v>200</v>
      </c>
      <c r="L15" s="19" t="s">
        <v>531</v>
      </c>
    </row>
    <row r="16" spans="1:12" x14ac:dyDescent="0.45">
      <c r="A16" s="19" t="s">
        <v>532</v>
      </c>
      <c r="B16" s="19" t="s">
        <v>533</v>
      </c>
      <c r="C16" s="19"/>
      <c r="E16" s="19" t="s">
        <v>534</v>
      </c>
      <c r="F16" s="19" t="s">
        <v>535</v>
      </c>
      <c r="H16" s="19" t="s">
        <v>536</v>
      </c>
      <c r="I16" s="19">
        <v>11</v>
      </c>
      <c r="J16" s="6">
        <v>68200</v>
      </c>
      <c r="K16" s="19">
        <v>120</v>
      </c>
      <c r="L16" s="19" t="s">
        <v>531</v>
      </c>
    </row>
    <row r="17" spans="1:12" x14ac:dyDescent="0.45">
      <c r="A17" s="19" t="s">
        <v>537</v>
      </c>
      <c r="B17" s="19" t="s">
        <v>538</v>
      </c>
      <c r="C17" s="19"/>
      <c r="E17" s="19" t="s">
        <v>539</v>
      </c>
      <c r="F17" s="19" t="s">
        <v>540</v>
      </c>
      <c r="H17" s="19" t="s">
        <v>541</v>
      </c>
      <c r="I17" s="19">
        <v>33</v>
      </c>
      <c r="J17" s="6">
        <v>22800</v>
      </c>
      <c r="K17" s="19">
        <v>240</v>
      </c>
      <c r="L17" s="19" t="s">
        <v>531</v>
      </c>
    </row>
    <row r="18" spans="1:12" x14ac:dyDescent="0.45">
      <c r="A18" s="19" t="s">
        <v>542</v>
      </c>
      <c r="B18" s="19" t="s">
        <v>543</v>
      </c>
      <c r="C18" s="19"/>
      <c r="E18" s="19" t="s">
        <v>544</v>
      </c>
      <c r="F18" s="19" t="s">
        <v>545</v>
      </c>
      <c r="H18" s="19" t="s">
        <v>546</v>
      </c>
      <c r="I18" s="19">
        <v>22</v>
      </c>
      <c r="J18" s="6">
        <v>15000</v>
      </c>
      <c r="K18" s="19">
        <v>100</v>
      </c>
      <c r="L18" s="19" t="s">
        <v>547</v>
      </c>
    </row>
    <row r="19" spans="1:12" x14ac:dyDescent="0.45">
      <c r="A19" s="19" t="s">
        <v>548</v>
      </c>
      <c r="B19" s="19" t="s">
        <v>549</v>
      </c>
      <c r="C19" s="19"/>
      <c r="H19" s="19" t="s">
        <v>550</v>
      </c>
      <c r="I19" s="19">
        <v>11</v>
      </c>
      <c r="J19" s="6">
        <v>31000</v>
      </c>
      <c r="K19" s="19">
        <v>300</v>
      </c>
      <c r="L19" s="19" t="s">
        <v>547</v>
      </c>
    </row>
    <row r="20" spans="1:12" x14ac:dyDescent="0.45">
      <c r="A20" s="19" t="s">
        <v>551</v>
      </c>
      <c r="B20" s="19" t="s">
        <v>552</v>
      </c>
      <c r="C20" s="19"/>
      <c r="H20" s="19" t="s">
        <v>553</v>
      </c>
      <c r="I20" s="19">
        <v>22</v>
      </c>
      <c r="J20" s="6">
        <v>29400</v>
      </c>
      <c r="K20" s="19">
        <v>140</v>
      </c>
      <c r="L20" s="19" t="s">
        <v>547</v>
      </c>
    </row>
    <row r="21" spans="1:12" x14ac:dyDescent="0.45">
      <c r="A21" s="19" t="s">
        <v>554</v>
      </c>
      <c r="B21" s="19" t="s">
        <v>555</v>
      </c>
      <c r="C21" s="19"/>
      <c r="H21" s="19" t="s">
        <v>556</v>
      </c>
      <c r="I21" s="19">
        <v>33</v>
      </c>
      <c r="J21" s="6">
        <v>30100</v>
      </c>
      <c r="K21" s="19">
        <v>350</v>
      </c>
      <c r="L21" s="19" t="s">
        <v>547</v>
      </c>
    </row>
    <row r="22" spans="1:12" x14ac:dyDescent="0.45">
      <c r="A22" s="19" t="s">
        <v>557</v>
      </c>
      <c r="B22" s="19" t="s">
        <v>558</v>
      </c>
      <c r="C22" s="19"/>
      <c r="H22" s="19" t="s">
        <v>559</v>
      </c>
      <c r="I22" s="19">
        <v>33</v>
      </c>
      <c r="J22" s="6">
        <v>27600</v>
      </c>
      <c r="K22" s="19">
        <v>320</v>
      </c>
      <c r="L22" s="19" t="s">
        <v>560</v>
      </c>
    </row>
    <row r="23" spans="1:12" x14ac:dyDescent="0.45">
      <c r="A23" s="19" t="s">
        <v>561</v>
      </c>
      <c r="B23" s="19" t="s">
        <v>562</v>
      </c>
      <c r="C23" s="19"/>
      <c r="H23" s="19" t="s">
        <v>563</v>
      </c>
      <c r="I23" s="19">
        <v>22</v>
      </c>
      <c r="J23" s="6">
        <v>12800</v>
      </c>
      <c r="K23" s="19">
        <v>170</v>
      </c>
      <c r="L23" s="19" t="s">
        <v>560</v>
      </c>
    </row>
    <row r="24" spans="1:12" x14ac:dyDescent="0.45">
      <c r="H24" s="19" t="s">
        <v>564</v>
      </c>
      <c r="I24" s="19">
        <v>11</v>
      </c>
      <c r="J24" s="6">
        <v>25400</v>
      </c>
      <c r="K24" s="19">
        <v>130</v>
      </c>
      <c r="L24" s="19" t="s">
        <v>560</v>
      </c>
    </row>
    <row r="25" spans="1:12" x14ac:dyDescent="0.45">
      <c r="A25" s="1" t="s">
        <v>565</v>
      </c>
      <c r="B25" s="2" t="s">
        <v>566</v>
      </c>
      <c r="H25" s="33" t="s">
        <v>567</v>
      </c>
      <c r="I25" s="35"/>
      <c r="J25" s="35"/>
      <c r="K25" s="34"/>
      <c r="L25" s="19"/>
    </row>
    <row r="26" spans="1:12" x14ac:dyDescent="0.45">
      <c r="A26" s="19" t="s">
        <v>568</v>
      </c>
      <c r="B26" s="19" t="s">
        <v>569</v>
      </c>
      <c r="C26" s="19" t="s">
        <v>570</v>
      </c>
      <c r="D26" s="19" t="s">
        <v>571</v>
      </c>
      <c r="E26" s="18" t="s">
        <v>572</v>
      </c>
    </row>
    <row r="27" spans="1:12" x14ac:dyDescent="0.45">
      <c r="A27" s="7">
        <v>45387</v>
      </c>
      <c r="B27" s="19">
        <v>12</v>
      </c>
      <c r="C27" s="19">
        <v>17</v>
      </c>
      <c r="D27" s="19">
        <v>0</v>
      </c>
      <c r="E27" s="19"/>
    </row>
    <row r="28" spans="1:12" x14ac:dyDescent="0.45">
      <c r="A28" s="7">
        <v>45388</v>
      </c>
      <c r="B28" s="19">
        <v>8</v>
      </c>
      <c r="C28" s="19">
        <v>14</v>
      </c>
      <c r="D28" s="19">
        <v>5</v>
      </c>
      <c r="E28" s="19"/>
    </row>
    <row r="29" spans="1:12" x14ac:dyDescent="0.45">
      <c r="A29" s="7">
        <v>45389</v>
      </c>
      <c r="B29" s="19">
        <v>4</v>
      </c>
      <c r="C29" s="19">
        <v>12</v>
      </c>
      <c r="D29" s="19">
        <v>15</v>
      </c>
      <c r="E29" s="19"/>
    </row>
    <row r="30" spans="1:12" x14ac:dyDescent="0.45">
      <c r="A30" s="7">
        <v>45394</v>
      </c>
      <c r="B30" s="19">
        <v>9</v>
      </c>
      <c r="C30" s="19">
        <v>17</v>
      </c>
      <c r="D30" s="19">
        <v>10</v>
      </c>
      <c r="E30" s="19"/>
    </row>
    <row r="31" spans="1:12" x14ac:dyDescent="0.45">
      <c r="A31" s="7">
        <v>45395</v>
      </c>
      <c r="B31" s="19">
        <v>10</v>
      </c>
      <c r="C31" s="19">
        <v>18</v>
      </c>
      <c r="D31" s="19">
        <v>0</v>
      </c>
      <c r="E31" s="19"/>
    </row>
    <row r="32" spans="1:12" x14ac:dyDescent="0.45">
      <c r="A32" s="7">
        <v>45396</v>
      </c>
      <c r="B32" s="19">
        <v>9</v>
      </c>
      <c r="C32" s="19">
        <v>16</v>
      </c>
      <c r="D32" s="19">
        <v>0</v>
      </c>
      <c r="E32" s="19"/>
    </row>
    <row r="33" spans="1:5" x14ac:dyDescent="0.45">
      <c r="A33" s="7">
        <v>45401</v>
      </c>
      <c r="B33" s="19">
        <v>8</v>
      </c>
      <c r="C33" s="19">
        <v>17</v>
      </c>
      <c r="D33" s="19">
        <v>20</v>
      </c>
      <c r="E33" s="19"/>
    </row>
    <row r="34" spans="1:5" x14ac:dyDescent="0.45">
      <c r="A34" s="7">
        <v>45402</v>
      </c>
      <c r="B34" s="19">
        <v>12</v>
      </c>
      <c r="C34" s="19">
        <v>25</v>
      </c>
      <c r="D34" s="19">
        <v>0</v>
      </c>
      <c r="E34" s="19"/>
    </row>
    <row r="35" spans="1:5" x14ac:dyDescent="0.45">
      <c r="A35" s="7">
        <v>45403</v>
      </c>
      <c r="B35" s="19">
        <v>11</v>
      </c>
      <c r="C35" s="19">
        <v>24</v>
      </c>
      <c r="D35" s="19">
        <v>0</v>
      </c>
      <c r="E35" s="19"/>
    </row>
  </sheetData>
  <mergeCells count="3">
    <mergeCell ref="A11:D11"/>
    <mergeCell ref="E13:F13"/>
    <mergeCell ref="H25:K25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88586-049E-49A4-BECE-17A7C39A7947}">
  <dimension ref="A1:L36"/>
  <sheetViews>
    <sheetView workbookViewId="0"/>
  </sheetViews>
  <sheetFormatPr defaultRowHeight="17" x14ac:dyDescent="0.45"/>
  <cols>
    <col min="2" max="2" width="10.75" bestFit="1" customWidth="1"/>
    <col min="4" max="4" width="10.58203125" bestFit="1" customWidth="1"/>
    <col min="9" max="9" width="8.6640625" customWidth="1"/>
  </cols>
  <sheetData>
    <row r="1" spans="1:11" x14ac:dyDescent="0.45">
      <c r="A1" s="1" t="s">
        <v>0</v>
      </c>
      <c r="B1" s="2" t="s">
        <v>573</v>
      </c>
      <c r="F1" s="1" t="s">
        <v>476</v>
      </c>
      <c r="G1" s="2" t="s">
        <v>574</v>
      </c>
    </row>
    <row r="2" spans="1:11" x14ac:dyDescent="0.45">
      <c r="A2" s="19" t="s">
        <v>575</v>
      </c>
      <c r="B2" s="19" t="s">
        <v>576</v>
      </c>
      <c r="C2" s="19" t="s">
        <v>480</v>
      </c>
      <c r="D2" s="18" t="s">
        <v>577</v>
      </c>
      <c r="F2" s="19" t="s">
        <v>10</v>
      </c>
      <c r="G2" s="19" t="s">
        <v>31</v>
      </c>
      <c r="H2" s="19" t="s">
        <v>578</v>
      </c>
      <c r="I2" s="19" t="s">
        <v>32</v>
      </c>
      <c r="J2" s="19" t="s">
        <v>473</v>
      </c>
      <c r="K2" s="18" t="s">
        <v>579</v>
      </c>
    </row>
    <row r="3" spans="1:11" x14ac:dyDescent="0.45">
      <c r="A3" s="19" t="s">
        <v>580</v>
      </c>
      <c r="B3" s="19" t="s">
        <v>581</v>
      </c>
      <c r="C3" s="19">
        <v>120</v>
      </c>
      <c r="D3" s="19"/>
      <c r="F3" s="19" t="s">
        <v>582</v>
      </c>
      <c r="G3" s="19">
        <v>82</v>
      </c>
      <c r="H3" s="19">
        <v>94</v>
      </c>
      <c r="I3" s="19">
        <v>86</v>
      </c>
      <c r="J3" s="19">
        <f>SUM(G3:I3)</f>
        <v>262</v>
      </c>
      <c r="K3" s="19"/>
    </row>
    <row r="4" spans="1:11" x14ac:dyDescent="0.45">
      <c r="A4" s="19" t="s">
        <v>583</v>
      </c>
      <c r="B4" s="19" t="s">
        <v>584</v>
      </c>
      <c r="C4" s="19">
        <v>100</v>
      </c>
      <c r="D4" s="19"/>
      <c r="F4" s="19" t="s">
        <v>585</v>
      </c>
      <c r="G4" s="19">
        <v>69</v>
      </c>
      <c r="H4" s="19">
        <v>88</v>
      </c>
      <c r="I4" s="19">
        <v>62</v>
      </c>
      <c r="J4" s="19">
        <f t="shared" ref="J4:J11" si="0">SUM(G4:I4)</f>
        <v>219</v>
      </c>
      <c r="K4" s="19"/>
    </row>
    <row r="5" spans="1:11" x14ac:dyDescent="0.45">
      <c r="A5" s="19" t="s">
        <v>586</v>
      </c>
      <c r="B5" s="19" t="s">
        <v>581</v>
      </c>
      <c r="C5" s="19">
        <v>150</v>
      </c>
      <c r="D5" s="19"/>
      <c r="F5" s="19" t="s">
        <v>587</v>
      </c>
      <c r="G5" s="19">
        <v>91</v>
      </c>
      <c r="H5" s="19">
        <v>95</v>
      </c>
      <c r="I5" s="19">
        <v>97</v>
      </c>
      <c r="J5" s="19">
        <f t="shared" si="0"/>
        <v>283</v>
      </c>
      <c r="K5" s="19"/>
    </row>
    <row r="6" spans="1:11" x14ac:dyDescent="0.45">
      <c r="A6" s="19" t="s">
        <v>588</v>
      </c>
      <c r="B6" s="19" t="s">
        <v>581</v>
      </c>
      <c r="C6" s="19">
        <v>180</v>
      </c>
      <c r="D6" s="19"/>
      <c r="F6" s="19" t="s">
        <v>589</v>
      </c>
      <c r="G6" s="19">
        <v>80</v>
      </c>
      <c r="H6" s="19">
        <v>70</v>
      </c>
      <c r="I6" s="19">
        <v>79</v>
      </c>
      <c r="J6" s="19">
        <f t="shared" si="0"/>
        <v>229</v>
      </c>
      <c r="K6" s="19"/>
    </row>
    <row r="7" spans="1:11" x14ac:dyDescent="0.45">
      <c r="A7" s="19" t="s">
        <v>590</v>
      </c>
      <c r="B7" s="19" t="s">
        <v>584</v>
      </c>
      <c r="C7" s="19">
        <v>130</v>
      </c>
      <c r="D7" s="19"/>
      <c r="F7" s="19" t="s">
        <v>591</v>
      </c>
      <c r="G7" s="19">
        <v>77</v>
      </c>
      <c r="H7" s="19">
        <v>71</v>
      </c>
      <c r="I7" s="19">
        <v>69</v>
      </c>
      <c r="J7" s="19">
        <f t="shared" si="0"/>
        <v>217</v>
      </c>
      <c r="K7" s="19"/>
    </row>
    <row r="8" spans="1:11" x14ac:dyDescent="0.45">
      <c r="A8" s="19" t="s">
        <v>592</v>
      </c>
      <c r="B8" s="19" t="s">
        <v>584</v>
      </c>
      <c r="C8" s="19">
        <v>120</v>
      </c>
      <c r="D8" s="19"/>
      <c r="F8" s="19" t="s">
        <v>593</v>
      </c>
      <c r="G8" s="19">
        <v>96</v>
      </c>
      <c r="H8" s="19">
        <v>93</v>
      </c>
      <c r="I8" s="19">
        <v>95</v>
      </c>
      <c r="J8" s="19">
        <f t="shared" si="0"/>
        <v>284</v>
      </c>
      <c r="K8" s="19"/>
    </row>
    <row r="9" spans="1:11" x14ac:dyDescent="0.45">
      <c r="A9" s="19" t="s">
        <v>594</v>
      </c>
      <c r="B9" s="19" t="s">
        <v>595</v>
      </c>
      <c r="C9" s="19">
        <v>160</v>
      </c>
      <c r="D9" s="19"/>
      <c r="F9" s="19" t="s">
        <v>596</v>
      </c>
      <c r="G9" s="19">
        <v>84</v>
      </c>
      <c r="H9" s="19">
        <v>88</v>
      </c>
      <c r="I9" s="19">
        <v>91</v>
      </c>
      <c r="J9" s="19">
        <f t="shared" si="0"/>
        <v>263</v>
      </c>
      <c r="K9" s="19"/>
    </row>
    <row r="10" spans="1:11" x14ac:dyDescent="0.45">
      <c r="A10" s="19" t="s">
        <v>597</v>
      </c>
      <c r="B10" s="19" t="s">
        <v>595</v>
      </c>
      <c r="C10" s="19">
        <v>150</v>
      </c>
      <c r="D10" s="19"/>
      <c r="F10" s="19" t="s">
        <v>598</v>
      </c>
      <c r="G10" s="19">
        <v>94</v>
      </c>
      <c r="H10" s="19">
        <v>90</v>
      </c>
      <c r="I10" s="19">
        <v>90</v>
      </c>
      <c r="J10" s="19">
        <f t="shared" si="0"/>
        <v>274</v>
      </c>
      <c r="K10" s="19"/>
    </row>
    <row r="11" spans="1:11" x14ac:dyDescent="0.45">
      <c r="A11" s="19" t="s">
        <v>599</v>
      </c>
      <c r="B11" s="19" t="s">
        <v>584</v>
      </c>
      <c r="C11" s="19">
        <v>180</v>
      </c>
      <c r="D11" s="19"/>
      <c r="F11" s="19" t="s">
        <v>600</v>
      </c>
      <c r="G11" s="19">
        <v>86</v>
      </c>
      <c r="H11" s="19">
        <v>84</v>
      </c>
      <c r="I11" s="19">
        <v>87</v>
      </c>
      <c r="J11" s="19">
        <f t="shared" si="0"/>
        <v>257</v>
      </c>
      <c r="K11" s="19"/>
    </row>
    <row r="13" spans="1:11" x14ac:dyDescent="0.45">
      <c r="A13" s="1" t="s">
        <v>9</v>
      </c>
      <c r="B13" s="2" t="s">
        <v>601</v>
      </c>
      <c r="F13" t="s">
        <v>602</v>
      </c>
    </row>
    <row r="14" spans="1:11" x14ac:dyDescent="0.45">
      <c r="A14" s="19" t="s">
        <v>603</v>
      </c>
      <c r="B14" s="19" t="s">
        <v>604</v>
      </c>
      <c r="C14" s="19" t="s">
        <v>605</v>
      </c>
      <c r="D14" s="19" t="s">
        <v>606</v>
      </c>
      <c r="F14" s="19" t="s">
        <v>607</v>
      </c>
      <c r="G14" s="19">
        <v>1</v>
      </c>
      <c r="H14" s="19">
        <v>4</v>
      </c>
      <c r="I14" s="19">
        <v>6</v>
      </c>
      <c r="J14" s="19">
        <v>8</v>
      </c>
    </row>
    <row r="15" spans="1:11" x14ac:dyDescent="0.45">
      <c r="A15" s="19" t="s">
        <v>608</v>
      </c>
      <c r="B15" s="19" t="s">
        <v>609</v>
      </c>
      <c r="C15" s="19">
        <v>23</v>
      </c>
      <c r="D15" s="6">
        <v>41400</v>
      </c>
      <c r="F15" s="19" t="s">
        <v>579</v>
      </c>
      <c r="G15" s="19" t="s">
        <v>610</v>
      </c>
      <c r="H15" s="19" t="s">
        <v>611</v>
      </c>
      <c r="I15" s="19" t="s">
        <v>612</v>
      </c>
      <c r="J15" s="19" t="s">
        <v>613</v>
      </c>
    </row>
    <row r="16" spans="1:11" x14ac:dyDescent="0.45">
      <c r="A16" s="19" t="s">
        <v>614</v>
      </c>
      <c r="B16" s="19" t="s">
        <v>615</v>
      </c>
      <c r="C16" s="19">
        <v>37</v>
      </c>
      <c r="D16" s="6">
        <v>74000</v>
      </c>
    </row>
    <row r="17" spans="1:9" x14ac:dyDescent="0.45">
      <c r="A17" s="19" t="s">
        <v>614</v>
      </c>
      <c r="B17" s="19" t="s">
        <v>616</v>
      </c>
      <c r="C17" s="19">
        <v>51</v>
      </c>
      <c r="D17" s="6">
        <v>84150</v>
      </c>
    </row>
    <row r="18" spans="1:9" x14ac:dyDescent="0.45">
      <c r="A18" s="19" t="s">
        <v>614</v>
      </c>
      <c r="B18" s="19" t="s">
        <v>617</v>
      </c>
      <c r="C18" s="19">
        <v>19</v>
      </c>
      <c r="D18" s="6">
        <v>23750</v>
      </c>
    </row>
    <row r="19" spans="1:9" x14ac:dyDescent="0.45">
      <c r="A19" s="19" t="s">
        <v>608</v>
      </c>
      <c r="B19" s="19" t="s">
        <v>618</v>
      </c>
      <c r="C19" s="19">
        <v>34</v>
      </c>
      <c r="D19" s="6">
        <v>74800</v>
      </c>
    </row>
    <row r="20" spans="1:9" x14ac:dyDescent="0.45">
      <c r="A20" s="19" t="s">
        <v>608</v>
      </c>
      <c r="B20" s="19" t="s">
        <v>619</v>
      </c>
      <c r="C20" s="19">
        <v>22</v>
      </c>
      <c r="D20" s="6">
        <v>79200</v>
      </c>
    </row>
    <row r="21" spans="1:9" x14ac:dyDescent="0.45">
      <c r="A21" s="19" t="s">
        <v>614</v>
      </c>
      <c r="B21" s="19" t="s">
        <v>620</v>
      </c>
      <c r="C21" s="19">
        <v>65</v>
      </c>
      <c r="D21" s="6">
        <v>71500</v>
      </c>
      <c r="F21" s="17" t="s">
        <v>49</v>
      </c>
    </row>
    <row r="22" spans="1:9" x14ac:dyDescent="0.45">
      <c r="A22" s="19" t="s">
        <v>608</v>
      </c>
      <c r="B22" s="19" t="s">
        <v>621</v>
      </c>
      <c r="C22" s="19">
        <v>24</v>
      </c>
      <c r="D22" s="6">
        <v>84000</v>
      </c>
      <c r="F22" s="19"/>
    </row>
    <row r="23" spans="1:9" x14ac:dyDescent="0.45">
      <c r="A23" s="33" t="s">
        <v>622</v>
      </c>
      <c r="B23" s="35"/>
      <c r="C23" s="34"/>
      <c r="D23" s="6"/>
      <c r="F23" s="19"/>
    </row>
    <row r="25" spans="1:9" x14ac:dyDescent="0.45">
      <c r="A25" s="1" t="s">
        <v>517</v>
      </c>
      <c r="B25" s="2" t="s">
        <v>623</v>
      </c>
      <c r="F25" s="1" t="s">
        <v>565</v>
      </c>
      <c r="G25" s="2" t="s">
        <v>624</v>
      </c>
      <c r="I25" s="3" t="s">
        <v>625</v>
      </c>
    </row>
    <row r="26" spans="1:9" x14ac:dyDescent="0.45">
      <c r="A26" s="19" t="s">
        <v>626</v>
      </c>
      <c r="B26" s="19" t="s">
        <v>474</v>
      </c>
      <c r="C26" s="19" t="s">
        <v>627</v>
      </c>
      <c r="D26" s="19" t="s">
        <v>628</v>
      </c>
      <c r="F26" s="19" t="s">
        <v>629</v>
      </c>
      <c r="G26" s="19" t="s">
        <v>630</v>
      </c>
      <c r="H26" s="19" t="s">
        <v>631</v>
      </c>
      <c r="I26" s="19" t="s">
        <v>632</v>
      </c>
    </row>
    <row r="27" spans="1:9" x14ac:dyDescent="0.45">
      <c r="A27" s="19" t="s">
        <v>633</v>
      </c>
      <c r="B27" s="19" t="s">
        <v>634</v>
      </c>
      <c r="C27" s="19">
        <v>8.1</v>
      </c>
      <c r="D27" s="6">
        <v>2524124</v>
      </c>
      <c r="F27" s="19" t="s">
        <v>635</v>
      </c>
      <c r="G27" s="19" t="s">
        <v>636</v>
      </c>
      <c r="H27" s="19">
        <v>12.4</v>
      </c>
      <c r="I27" s="22">
        <v>3650</v>
      </c>
    </row>
    <row r="28" spans="1:9" x14ac:dyDescent="0.45">
      <c r="A28" s="19" t="s">
        <v>637</v>
      </c>
      <c r="B28" s="19" t="s">
        <v>638</v>
      </c>
      <c r="C28" s="19">
        <v>6.7</v>
      </c>
      <c r="D28" s="6">
        <v>1835991</v>
      </c>
      <c r="F28" s="19" t="s">
        <v>639</v>
      </c>
      <c r="G28" s="19" t="s">
        <v>640</v>
      </c>
      <c r="H28" s="19">
        <v>13.8</v>
      </c>
      <c r="I28" s="22">
        <v>4210</v>
      </c>
    </row>
    <row r="29" spans="1:9" x14ac:dyDescent="0.45">
      <c r="A29" s="19" t="s">
        <v>641</v>
      </c>
      <c r="B29" s="19" t="s">
        <v>638</v>
      </c>
      <c r="C29" s="19">
        <v>8.8000000000000007</v>
      </c>
      <c r="D29" s="6">
        <v>3365725</v>
      </c>
      <c r="F29" s="19" t="s">
        <v>642</v>
      </c>
      <c r="G29" s="19" t="s">
        <v>643</v>
      </c>
      <c r="H29" s="19">
        <v>14.2</v>
      </c>
      <c r="I29" s="22">
        <v>5100</v>
      </c>
    </row>
    <row r="30" spans="1:9" x14ac:dyDescent="0.45">
      <c r="A30" s="19" t="s">
        <v>644</v>
      </c>
      <c r="B30" s="19" t="s">
        <v>634</v>
      </c>
      <c r="C30" s="19">
        <v>9.4</v>
      </c>
      <c r="D30" s="6">
        <v>6189472</v>
      </c>
      <c r="F30" s="19" t="s">
        <v>645</v>
      </c>
      <c r="G30" s="19" t="s">
        <v>643</v>
      </c>
      <c r="H30" s="19">
        <v>12.5</v>
      </c>
      <c r="I30" s="22">
        <v>4980</v>
      </c>
    </row>
    <row r="31" spans="1:9" x14ac:dyDescent="0.45">
      <c r="A31" s="19" t="s">
        <v>646</v>
      </c>
      <c r="B31" s="19" t="s">
        <v>647</v>
      </c>
      <c r="C31" s="19">
        <v>7.1</v>
      </c>
      <c r="D31" s="6">
        <v>1365543</v>
      </c>
      <c r="F31" s="19" t="s">
        <v>648</v>
      </c>
      <c r="G31" s="19" t="s">
        <v>636</v>
      </c>
      <c r="H31" s="19">
        <v>11.8</v>
      </c>
      <c r="I31" s="22">
        <v>3250</v>
      </c>
    </row>
    <row r="32" spans="1:9" x14ac:dyDescent="0.45">
      <c r="A32" s="19" t="s">
        <v>649</v>
      </c>
      <c r="B32" s="19" t="s">
        <v>638</v>
      </c>
      <c r="C32" s="19">
        <v>8.5</v>
      </c>
      <c r="D32" s="6">
        <v>5395001</v>
      </c>
      <c r="F32" s="19" t="s">
        <v>650</v>
      </c>
      <c r="G32" s="19" t="s">
        <v>640</v>
      </c>
      <c r="H32" s="19">
        <v>12.5</v>
      </c>
      <c r="I32" s="22">
        <v>2880</v>
      </c>
    </row>
    <row r="33" spans="1:12" x14ac:dyDescent="0.45">
      <c r="A33" s="19" t="s">
        <v>651</v>
      </c>
      <c r="B33" s="19" t="s">
        <v>634</v>
      </c>
      <c r="C33" s="19">
        <v>8.1</v>
      </c>
      <c r="D33" s="6">
        <v>2654872</v>
      </c>
      <c r="F33" s="19" t="s">
        <v>652</v>
      </c>
      <c r="G33" s="19" t="s">
        <v>636</v>
      </c>
      <c r="H33" s="19">
        <v>14.3</v>
      </c>
      <c r="I33" s="22">
        <v>4670</v>
      </c>
    </row>
    <row r="34" spans="1:12" x14ac:dyDescent="0.45">
      <c r="A34" s="19" t="s">
        <v>653</v>
      </c>
      <c r="B34" s="19" t="s">
        <v>647</v>
      </c>
      <c r="C34" s="19">
        <v>7.5</v>
      </c>
      <c r="D34" s="6">
        <v>2204589</v>
      </c>
      <c r="F34" s="19" t="s">
        <v>654</v>
      </c>
      <c r="G34" s="19" t="s">
        <v>640</v>
      </c>
      <c r="H34" s="19">
        <v>15.2</v>
      </c>
      <c r="I34" s="22">
        <v>2260</v>
      </c>
      <c r="J34" s="40" t="s">
        <v>655</v>
      </c>
      <c r="K34" s="32"/>
      <c r="L34" s="32"/>
    </row>
    <row r="35" spans="1:12" x14ac:dyDescent="0.45">
      <c r="A35" s="19" t="s">
        <v>656</v>
      </c>
      <c r="B35" s="19" t="s">
        <v>638</v>
      </c>
      <c r="C35" s="19">
        <v>92</v>
      </c>
      <c r="D35" s="6">
        <v>1854204</v>
      </c>
      <c r="F35" s="19" t="s">
        <v>657</v>
      </c>
      <c r="G35" s="19" t="s">
        <v>643</v>
      </c>
      <c r="H35" s="19">
        <v>11.4</v>
      </c>
      <c r="I35" s="22">
        <v>4840</v>
      </c>
      <c r="J35" s="32"/>
      <c r="K35" s="32"/>
      <c r="L35" s="32"/>
    </row>
    <row r="36" spans="1:12" x14ac:dyDescent="0.45">
      <c r="A36" s="33" t="s">
        <v>658</v>
      </c>
      <c r="B36" s="35"/>
      <c r="C36" s="34"/>
      <c r="D36" s="23"/>
      <c r="F36" s="19" t="s">
        <v>659</v>
      </c>
      <c r="G36" s="19" t="s">
        <v>636</v>
      </c>
      <c r="H36" s="19">
        <v>12.7</v>
      </c>
      <c r="I36" s="22">
        <v>4190</v>
      </c>
      <c r="J36" s="36"/>
      <c r="K36" s="36"/>
      <c r="L36" s="36"/>
    </row>
  </sheetData>
  <mergeCells count="4">
    <mergeCell ref="A23:C23"/>
    <mergeCell ref="J34:L35"/>
    <mergeCell ref="A36:C36"/>
    <mergeCell ref="J36:L36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6840A-EDC2-4991-BA27-22460F4BC2D4}">
  <dimension ref="A1:K36"/>
  <sheetViews>
    <sheetView workbookViewId="0"/>
  </sheetViews>
  <sheetFormatPr defaultRowHeight="17" x14ac:dyDescent="0.45"/>
  <cols>
    <col min="1" max="1" width="8.6640625" customWidth="1"/>
    <col min="2" max="2" width="10.75" customWidth="1"/>
    <col min="4" max="4" width="10.9140625" bestFit="1" customWidth="1"/>
    <col min="5" max="5" width="10.4140625" bestFit="1" customWidth="1"/>
    <col min="9" max="9" width="11.6640625" bestFit="1" customWidth="1"/>
  </cols>
  <sheetData>
    <row r="1" spans="1:9" x14ac:dyDescent="0.45">
      <c r="A1" s="1" t="s">
        <v>0</v>
      </c>
      <c r="B1" s="2" t="s">
        <v>660</v>
      </c>
      <c r="F1" s="24" t="s">
        <v>476</v>
      </c>
      <c r="G1" s="25" t="s">
        <v>661</v>
      </c>
      <c r="H1" s="26"/>
      <c r="I1" s="27"/>
    </row>
    <row r="2" spans="1:9" x14ac:dyDescent="0.45">
      <c r="A2" s="19" t="s">
        <v>477</v>
      </c>
      <c r="B2" s="19" t="s">
        <v>662</v>
      </c>
      <c r="C2" s="19" t="s">
        <v>663</v>
      </c>
      <c r="D2" s="18" t="s">
        <v>664</v>
      </c>
      <c r="F2" s="20" t="s">
        <v>604</v>
      </c>
      <c r="G2" s="20" t="s">
        <v>665</v>
      </c>
      <c r="H2" s="20" t="s">
        <v>666</v>
      </c>
      <c r="I2" s="20" t="s">
        <v>667</v>
      </c>
    </row>
    <row r="3" spans="1:9" x14ac:dyDescent="0.45">
      <c r="A3" s="19" t="s">
        <v>668</v>
      </c>
      <c r="B3" s="7">
        <v>45338</v>
      </c>
      <c r="C3" s="19" t="s">
        <v>669</v>
      </c>
      <c r="D3" s="19"/>
      <c r="F3" s="28" t="s">
        <v>670</v>
      </c>
      <c r="G3" s="20" t="s">
        <v>671</v>
      </c>
      <c r="H3" s="20">
        <v>243</v>
      </c>
      <c r="I3" s="29">
        <f>H3*12500</f>
        <v>3037500</v>
      </c>
    </row>
    <row r="4" spans="1:9" x14ac:dyDescent="0.45">
      <c r="A4" s="19" t="s">
        <v>672</v>
      </c>
      <c r="B4" s="7">
        <v>45349</v>
      </c>
      <c r="C4" s="19" t="s">
        <v>673</v>
      </c>
      <c r="D4" s="19"/>
      <c r="F4" s="28" t="s">
        <v>670</v>
      </c>
      <c r="G4" s="20" t="s">
        <v>674</v>
      </c>
      <c r="H4" s="20">
        <v>385</v>
      </c>
      <c r="I4" s="29">
        <f>H4*12500</f>
        <v>4812500</v>
      </c>
    </row>
    <row r="5" spans="1:9" x14ac:dyDescent="0.45">
      <c r="A5" s="19" t="s">
        <v>675</v>
      </c>
      <c r="B5" s="7">
        <v>45359</v>
      </c>
      <c r="C5" s="19" t="s">
        <v>676</v>
      </c>
      <c r="D5" s="19"/>
      <c r="F5" s="28" t="s">
        <v>670</v>
      </c>
      <c r="G5" s="20" t="s">
        <v>677</v>
      </c>
      <c r="H5" s="20">
        <v>196</v>
      </c>
      <c r="I5" s="29">
        <f>H5*12500</f>
        <v>2450000</v>
      </c>
    </row>
    <row r="6" spans="1:9" x14ac:dyDescent="0.45">
      <c r="A6" s="19" t="s">
        <v>678</v>
      </c>
      <c r="B6" s="7">
        <v>45373</v>
      </c>
      <c r="C6" s="19" t="s">
        <v>673</v>
      </c>
      <c r="D6" s="19"/>
      <c r="F6" s="28" t="s">
        <v>679</v>
      </c>
      <c r="G6" s="20" t="s">
        <v>671</v>
      </c>
      <c r="H6" s="20">
        <v>134</v>
      </c>
      <c r="I6" s="29">
        <f>H6*9500</f>
        <v>1273000</v>
      </c>
    </row>
    <row r="7" spans="1:9" x14ac:dyDescent="0.45">
      <c r="A7" s="19" t="s">
        <v>680</v>
      </c>
      <c r="B7" s="7">
        <v>45397</v>
      </c>
      <c r="C7" s="19" t="s">
        <v>676</v>
      </c>
      <c r="D7" s="19"/>
      <c r="F7" s="28" t="s">
        <v>679</v>
      </c>
      <c r="G7" s="20" t="s">
        <v>674</v>
      </c>
      <c r="H7" s="20">
        <v>310</v>
      </c>
      <c r="I7" s="29">
        <f>H7*9500</f>
        <v>2945000</v>
      </c>
    </row>
    <row r="8" spans="1:9" x14ac:dyDescent="0.45">
      <c r="A8" s="19" t="s">
        <v>681</v>
      </c>
      <c r="B8" s="7">
        <v>45406</v>
      </c>
      <c r="C8" s="19" t="s">
        <v>669</v>
      </c>
      <c r="D8" s="19"/>
      <c r="F8" s="28" t="s">
        <v>679</v>
      </c>
      <c r="G8" s="20" t="s">
        <v>677</v>
      </c>
      <c r="H8" s="20">
        <v>251</v>
      </c>
      <c r="I8" s="29">
        <f>H8*9500</f>
        <v>2384500</v>
      </c>
    </row>
    <row r="9" spans="1:9" x14ac:dyDescent="0.45">
      <c r="A9" s="19" t="s">
        <v>682</v>
      </c>
      <c r="B9" s="7">
        <v>45422</v>
      </c>
      <c r="C9" s="19" t="s">
        <v>673</v>
      </c>
      <c r="D9" s="19"/>
      <c r="F9" s="28" t="s">
        <v>683</v>
      </c>
      <c r="G9" s="20" t="s">
        <v>671</v>
      </c>
      <c r="H9" s="20">
        <v>89</v>
      </c>
      <c r="I9" s="29">
        <f>H9*85500</f>
        <v>7609500</v>
      </c>
    </row>
    <row r="10" spans="1:9" x14ac:dyDescent="0.45">
      <c r="A10" s="19" t="s">
        <v>684</v>
      </c>
      <c r="B10" s="7">
        <v>45442</v>
      </c>
      <c r="C10" s="19" t="s">
        <v>676</v>
      </c>
      <c r="D10" s="19"/>
      <c r="F10" s="28" t="s">
        <v>683</v>
      </c>
      <c r="G10" s="20" t="s">
        <v>674</v>
      </c>
      <c r="H10" s="20">
        <v>101</v>
      </c>
      <c r="I10" s="29">
        <f>H10*85500</f>
        <v>8635500</v>
      </c>
    </row>
    <row r="11" spans="1:9" x14ac:dyDescent="0.45">
      <c r="A11" s="19" t="s">
        <v>685</v>
      </c>
      <c r="B11" s="7">
        <v>45454</v>
      </c>
      <c r="C11" s="19" t="s">
        <v>669</v>
      </c>
      <c r="D11" s="19"/>
      <c r="F11" s="28" t="s">
        <v>683</v>
      </c>
      <c r="G11" s="20" t="s">
        <v>677</v>
      </c>
      <c r="H11" s="20">
        <v>67</v>
      </c>
      <c r="I11" s="29">
        <f>H11*85500</f>
        <v>5728500</v>
      </c>
    </row>
    <row r="12" spans="1:9" x14ac:dyDescent="0.45">
      <c r="A12" s="19" t="s">
        <v>686</v>
      </c>
      <c r="B12" s="7">
        <v>45471</v>
      </c>
      <c r="C12" s="19" t="s">
        <v>673</v>
      </c>
      <c r="D12" s="19"/>
      <c r="F12" s="41" t="s">
        <v>687</v>
      </c>
      <c r="G12" s="42"/>
      <c r="H12" s="43"/>
      <c r="I12" s="23"/>
    </row>
    <row r="14" spans="1:9" x14ac:dyDescent="0.45">
      <c r="A14" s="24" t="s">
        <v>9</v>
      </c>
      <c r="B14" s="25" t="s">
        <v>688</v>
      </c>
      <c r="G14" s="24" t="s">
        <v>517</v>
      </c>
      <c r="H14" s="25" t="s">
        <v>689</v>
      </c>
    </row>
    <row r="15" spans="1:9" x14ac:dyDescent="0.45">
      <c r="A15" s="19" t="s">
        <v>575</v>
      </c>
      <c r="B15" s="19" t="s">
        <v>479</v>
      </c>
      <c r="C15" s="19" t="s">
        <v>690</v>
      </c>
      <c r="D15" s="19" t="s">
        <v>691</v>
      </c>
      <c r="E15" s="18" t="s">
        <v>692</v>
      </c>
      <c r="G15" s="19" t="s">
        <v>478</v>
      </c>
      <c r="H15" s="19" t="s">
        <v>485</v>
      </c>
      <c r="I15" s="19" t="s">
        <v>578</v>
      </c>
    </row>
    <row r="16" spans="1:9" x14ac:dyDescent="0.45">
      <c r="A16" s="19" t="s">
        <v>693</v>
      </c>
      <c r="B16" s="7">
        <v>45390</v>
      </c>
      <c r="C16" s="19" t="s">
        <v>694</v>
      </c>
      <c r="D16" s="19">
        <v>4</v>
      </c>
      <c r="E16" s="19"/>
      <c r="G16" s="19" t="s">
        <v>695</v>
      </c>
      <c r="H16" s="19" t="s">
        <v>496</v>
      </c>
      <c r="I16" s="14">
        <v>56986400</v>
      </c>
    </row>
    <row r="17" spans="1:11" x14ac:dyDescent="0.45">
      <c r="A17" s="19" t="s">
        <v>696</v>
      </c>
      <c r="B17" s="7">
        <v>45392</v>
      </c>
      <c r="C17" s="19" t="s">
        <v>697</v>
      </c>
      <c r="D17" s="19">
        <v>8</v>
      </c>
      <c r="E17" s="19"/>
      <c r="G17" s="19" t="s">
        <v>698</v>
      </c>
      <c r="H17" s="19" t="s">
        <v>499</v>
      </c>
      <c r="I17" s="14">
        <v>35470100</v>
      </c>
    </row>
    <row r="18" spans="1:11" x14ac:dyDescent="0.45">
      <c r="A18" s="19" t="s">
        <v>699</v>
      </c>
      <c r="B18" s="7">
        <v>45393</v>
      </c>
      <c r="C18" s="19" t="s">
        <v>700</v>
      </c>
      <c r="D18" s="19">
        <v>4</v>
      </c>
      <c r="E18" s="19"/>
      <c r="G18" s="19" t="s">
        <v>701</v>
      </c>
      <c r="H18" s="19" t="s">
        <v>496</v>
      </c>
      <c r="I18" s="14">
        <v>68341200</v>
      </c>
    </row>
    <row r="19" spans="1:11" x14ac:dyDescent="0.45">
      <c r="A19" s="19" t="s">
        <v>702</v>
      </c>
      <c r="B19" s="7">
        <v>45393</v>
      </c>
      <c r="C19" s="19" t="s">
        <v>703</v>
      </c>
      <c r="D19" s="19">
        <v>2</v>
      </c>
      <c r="E19" s="19"/>
      <c r="G19" s="19" t="s">
        <v>704</v>
      </c>
      <c r="H19" s="19" t="s">
        <v>499</v>
      </c>
      <c r="I19" s="14">
        <v>50185000</v>
      </c>
    </row>
    <row r="20" spans="1:11" x14ac:dyDescent="0.45">
      <c r="A20" s="19" t="s">
        <v>705</v>
      </c>
      <c r="B20" s="7">
        <v>45398</v>
      </c>
      <c r="C20" s="19" t="s">
        <v>706</v>
      </c>
      <c r="D20" s="19">
        <v>6</v>
      </c>
      <c r="E20" s="19"/>
      <c r="G20" s="19" t="s">
        <v>707</v>
      </c>
      <c r="H20" s="19" t="s">
        <v>499</v>
      </c>
      <c r="I20" s="14">
        <v>62734900</v>
      </c>
    </row>
    <row r="21" spans="1:11" x14ac:dyDescent="0.45">
      <c r="A21" s="19" t="s">
        <v>708</v>
      </c>
      <c r="B21" s="7">
        <v>45400</v>
      </c>
      <c r="C21" s="19" t="s">
        <v>709</v>
      </c>
      <c r="D21" s="19">
        <v>5</v>
      </c>
      <c r="E21" s="19"/>
      <c r="G21" s="19" t="s">
        <v>710</v>
      </c>
      <c r="H21" s="19" t="s">
        <v>496</v>
      </c>
      <c r="I21" s="14">
        <v>39900000</v>
      </c>
    </row>
    <row r="22" spans="1:11" x14ac:dyDescent="0.45">
      <c r="A22" s="19" t="s">
        <v>711</v>
      </c>
      <c r="B22" s="7">
        <v>45400</v>
      </c>
      <c r="C22" s="19" t="s">
        <v>712</v>
      </c>
      <c r="D22" s="19">
        <v>3</v>
      </c>
      <c r="E22" s="19"/>
      <c r="G22" s="19" t="s">
        <v>481</v>
      </c>
      <c r="H22" s="19" t="s">
        <v>496</v>
      </c>
      <c r="I22" s="14">
        <v>46984200</v>
      </c>
    </row>
    <row r="23" spans="1:11" x14ac:dyDescent="0.45">
      <c r="A23" s="19" t="s">
        <v>713</v>
      </c>
      <c r="B23" s="7">
        <v>45404</v>
      </c>
      <c r="C23" s="19" t="s">
        <v>714</v>
      </c>
      <c r="D23" s="19">
        <v>4</v>
      </c>
      <c r="E23" s="19"/>
      <c r="G23" s="19" t="s">
        <v>475</v>
      </c>
      <c r="H23" s="19" t="s">
        <v>499</v>
      </c>
      <c r="I23" s="14">
        <v>55121000</v>
      </c>
      <c r="J23" s="44" t="s">
        <v>49</v>
      </c>
      <c r="K23" s="37"/>
    </row>
    <row r="24" spans="1:11" x14ac:dyDescent="0.45">
      <c r="A24" s="19" t="s">
        <v>715</v>
      </c>
      <c r="B24" s="7">
        <v>45406</v>
      </c>
      <c r="C24" s="19" t="s">
        <v>716</v>
      </c>
      <c r="D24" s="19">
        <v>8</v>
      </c>
      <c r="E24" s="19"/>
      <c r="G24" s="19" t="s">
        <v>717</v>
      </c>
      <c r="H24" s="19" t="s">
        <v>496</v>
      </c>
      <c r="I24" s="14">
        <v>43764900</v>
      </c>
      <c r="J24" s="19"/>
      <c r="K24" s="19"/>
    </row>
    <row r="25" spans="1:11" x14ac:dyDescent="0.45">
      <c r="A25" s="19" t="s">
        <v>718</v>
      </c>
      <c r="B25" s="7">
        <v>45406</v>
      </c>
      <c r="C25" s="19" t="s">
        <v>719</v>
      </c>
      <c r="D25" s="19">
        <v>6</v>
      </c>
      <c r="E25" s="19"/>
      <c r="G25" s="33" t="s">
        <v>720</v>
      </c>
      <c r="H25" s="34"/>
      <c r="I25" s="14"/>
      <c r="J25" s="19"/>
      <c r="K25" s="19"/>
    </row>
    <row r="27" spans="1:11" x14ac:dyDescent="0.45">
      <c r="A27" s="24" t="s">
        <v>565</v>
      </c>
      <c r="B27" s="25" t="s">
        <v>721</v>
      </c>
      <c r="F27" s="37" t="s">
        <v>722</v>
      </c>
      <c r="G27" s="37"/>
    </row>
    <row r="28" spans="1:11" x14ac:dyDescent="0.45">
      <c r="A28" s="19" t="s">
        <v>10</v>
      </c>
      <c r="B28" s="19" t="s">
        <v>723</v>
      </c>
      <c r="C28" s="19" t="s">
        <v>576</v>
      </c>
      <c r="D28" s="18" t="s">
        <v>724</v>
      </c>
      <c r="F28" s="19" t="s">
        <v>576</v>
      </c>
      <c r="G28" s="19" t="s">
        <v>520</v>
      </c>
    </row>
    <row r="29" spans="1:11" x14ac:dyDescent="0.45">
      <c r="A29" s="19" t="s">
        <v>725</v>
      </c>
      <c r="B29" s="7">
        <v>33305</v>
      </c>
      <c r="C29" s="19" t="s">
        <v>726</v>
      </c>
      <c r="D29" s="19"/>
      <c r="F29" s="19" t="s">
        <v>727</v>
      </c>
      <c r="G29" s="19" t="s">
        <v>728</v>
      </c>
    </row>
    <row r="30" spans="1:11" x14ac:dyDescent="0.45">
      <c r="A30" s="19" t="s">
        <v>729</v>
      </c>
      <c r="B30" s="7">
        <v>30854</v>
      </c>
      <c r="C30" s="19" t="s">
        <v>730</v>
      </c>
      <c r="D30" s="19"/>
      <c r="F30" s="19" t="s">
        <v>731</v>
      </c>
      <c r="G30" s="19" t="s">
        <v>732</v>
      </c>
    </row>
    <row r="31" spans="1:11" x14ac:dyDescent="0.45">
      <c r="A31" s="19" t="s">
        <v>733</v>
      </c>
      <c r="B31" s="7">
        <v>36990</v>
      </c>
      <c r="C31" s="19" t="s">
        <v>734</v>
      </c>
      <c r="D31" s="19"/>
      <c r="F31" s="19" t="s">
        <v>734</v>
      </c>
      <c r="G31" s="19" t="s">
        <v>735</v>
      </c>
    </row>
    <row r="32" spans="1:11" x14ac:dyDescent="0.45">
      <c r="A32" s="19" t="s">
        <v>736</v>
      </c>
      <c r="B32" s="7">
        <v>34783</v>
      </c>
      <c r="C32" s="19" t="s">
        <v>727</v>
      </c>
      <c r="D32" s="19"/>
      <c r="F32" s="19" t="s">
        <v>737</v>
      </c>
      <c r="G32" s="19" t="s">
        <v>738</v>
      </c>
    </row>
    <row r="33" spans="1:7" x14ac:dyDescent="0.45">
      <c r="A33" s="19" t="s">
        <v>739</v>
      </c>
      <c r="B33" s="7">
        <v>31972</v>
      </c>
      <c r="C33" s="19" t="s">
        <v>737</v>
      </c>
      <c r="D33" s="19"/>
      <c r="F33" s="19" t="s">
        <v>726</v>
      </c>
      <c r="G33" s="19" t="s">
        <v>740</v>
      </c>
    </row>
    <row r="34" spans="1:7" x14ac:dyDescent="0.45">
      <c r="A34" s="19" t="s">
        <v>741</v>
      </c>
      <c r="B34" s="7">
        <v>32419</v>
      </c>
      <c r="C34" s="19" t="s">
        <v>731</v>
      </c>
      <c r="D34" s="19"/>
      <c r="F34" s="19" t="s">
        <v>742</v>
      </c>
      <c r="G34" s="19" t="s">
        <v>743</v>
      </c>
    </row>
    <row r="35" spans="1:7" x14ac:dyDescent="0.45">
      <c r="A35" s="19" t="s">
        <v>744</v>
      </c>
      <c r="B35" s="7">
        <v>36190</v>
      </c>
      <c r="C35" s="19" t="s">
        <v>745</v>
      </c>
      <c r="D35" s="19"/>
      <c r="F35" s="19" t="s">
        <v>730</v>
      </c>
      <c r="G35" s="19" t="s">
        <v>746</v>
      </c>
    </row>
    <row r="36" spans="1:7" x14ac:dyDescent="0.45">
      <c r="A36" s="19" t="s">
        <v>747</v>
      </c>
      <c r="B36" s="7">
        <v>36653</v>
      </c>
      <c r="C36" s="19" t="s">
        <v>742</v>
      </c>
      <c r="D36" s="19"/>
      <c r="F36" s="19" t="s">
        <v>745</v>
      </c>
      <c r="G36" s="19" t="s">
        <v>748</v>
      </c>
    </row>
  </sheetData>
  <mergeCells count="4">
    <mergeCell ref="F12:H12"/>
    <mergeCell ref="J23:K23"/>
    <mergeCell ref="G25:H25"/>
    <mergeCell ref="F27:G27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07056-8BE5-4072-8310-D4A670025E88}">
  <dimension ref="A1:K36"/>
  <sheetViews>
    <sheetView workbookViewId="0"/>
  </sheetViews>
  <sheetFormatPr defaultRowHeight="17" x14ac:dyDescent="0.45"/>
  <cols>
    <col min="2" max="2" width="10.75" bestFit="1" customWidth="1"/>
    <col min="4" max="4" width="12.58203125" bestFit="1" customWidth="1"/>
    <col min="10" max="11" width="9.58203125" customWidth="1"/>
  </cols>
  <sheetData>
    <row r="1" spans="1:11" x14ac:dyDescent="0.45">
      <c r="A1" s="1" t="s">
        <v>0</v>
      </c>
      <c r="B1" s="2" t="s">
        <v>749</v>
      </c>
      <c r="F1" s="1" t="s">
        <v>476</v>
      </c>
      <c r="G1" s="2" t="s">
        <v>750</v>
      </c>
    </row>
    <row r="2" spans="1:11" x14ac:dyDescent="0.45">
      <c r="A2" s="19" t="s">
        <v>751</v>
      </c>
      <c r="B2" s="19" t="s">
        <v>752</v>
      </c>
      <c r="C2" s="19" t="s">
        <v>605</v>
      </c>
      <c r="D2" s="18" t="s">
        <v>753</v>
      </c>
      <c r="F2" s="19" t="s">
        <v>754</v>
      </c>
      <c r="G2" s="19" t="s">
        <v>755</v>
      </c>
      <c r="H2" s="19" t="s">
        <v>756</v>
      </c>
      <c r="I2" s="19" t="s">
        <v>627</v>
      </c>
    </row>
    <row r="3" spans="1:11" x14ac:dyDescent="0.45">
      <c r="A3" s="19" t="s">
        <v>757</v>
      </c>
      <c r="B3" s="7">
        <v>45509</v>
      </c>
      <c r="C3" s="19">
        <v>5</v>
      </c>
      <c r="D3" s="7"/>
      <c r="F3" s="19" t="s">
        <v>758</v>
      </c>
      <c r="G3" s="19" t="s">
        <v>759</v>
      </c>
      <c r="H3" s="19" t="s">
        <v>760</v>
      </c>
      <c r="I3" s="19">
        <v>7.64</v>
      </c>
    </row>
    <row r="4" spans="1:11" x14ac:dyDescent="0.45">
      <c r="A4" s="19" t="s">
        <v>761</v>
      </c>
      <c r="B4" s="7">
        <v>45510</v>
      </c>
      <c r="C4" s="19">
        <v>3</v>
      </c>
      <c r="D4" s="7"/>
      <c r="F4" s="19" t="s">
        <v>762</v>
      </c>
      <c r="G4" s="19" t="s">
        <v>763</v>
      </c>
      <c r="H4" s="19" t="s">
        <v>764</v>
      </c>
      <c r="I4" s="19">
        <v>8.91</v>
      </c>
    </row>
    <row r="5" spans="1:11" x14ac:dyDescent="0.45">
      <c r="A5" s="19" t="s">
        <v>765</v>
      </c>
      <c r="B5" s="7">
        <v>45512</v>
      </c>
      <c r="C5" s="19">
        <v>6</v>
      </c>
      <c r="D5" s="7"/>
      <c r="F5" s="19" t="s">
        <v>758</v>
      </c>
      <c r="G5" s="19" t="s">
        <v>763</v>
      </c>
      <c r="H5" s="19" t="s">
        <v>766</v>
      </c>
      <c r="I5" s="19">
        <v>8.1300000000000008</v>
      </c>
    </row>
    <row r="6" spans="1:11" x14ac:dyDescent="0.45">
      <c r="A6" s="19" t="s">
        <v>767</v>
      </c>
      <c r="B6" s="7">
        <v>45513</v>
      </c>
      <c r="C6" s="19">
        <v>4</v>
      </c>
      <c r="D6" s="7"/>
      <c r="F6" s="19" t="s">
        <v>758</v>
      </c>
      <c r="G6" s="19" t="s">
        <v>759</v>
      </c>
      <c r="H6" s="19" t="s">
        <v>768</v>
      </c>
      <c r="I6" s="19">
        <v>6.46</v>
      </c>
    </row>
    <row r="7" spans="1:11" x14ac:dyDescent="0.45">
      <c r="A7" s="19" t="s">
        <v>769</v>
      </c>
      <c r="B7" s="7">
        <v>45517</v>
      </c>
      <c r="C7" s="19">
        <v>3</v>
      </c>
      <c r="D7" s="7"/>
      <c r="F7" s="19" t="s">
        <v>762</v>
      </c>
      <c r="G7" s="19" t="s">
        <v>759</v>
      </c>
      <c r="H7" s="19" t="s">
        <v>770</v>
      </c>
      <c r="I7" s="19">
        <v>7.59</v>
      </c>
    </row>
    <row r="8" spans="1:11" x14ac:dyDescent="0.45">
      <c r="A8" s="19" t="s">
        <v>771</v>
      </c>
      <c r="B8" s="7">
        <v>45520</v>
      </c>
      <c r="C8" s="19">
        <v>4</v>
      </c>
      <c r="D8" s="7"/>
      <c r="F8" s="19" t="s">
        <v>758</v>
      </c>
      <c r="G8" s="19" t="s">
        <v>763</v>
      </c>
      <c r="H8" s="19" t="s">
        <v>772</v>
      </c>
      <c r="I8" s="19">
        <v>8.2799999999999994</v>
      </c>
    </row>
    <row r="9" spans="1:11" x14ac:dyDescent="0.45">
      <c r="A9" s="19" t="s">
        <v>773</v>
      </c>
      <c r="B9" s="7">
        <v>45524</v>
      </c>
      <c r="C9" s="19">
        <v>6</v>
      </c>
      <c r="D9" s="7"/>
      <c r="F9" s="19" t="s">
        <v>762</v>
      </c>
      <c r="G9" s="19" t="s">
        <v>759</v>
      </c>
      <c r="H9" s="19" t="s">
        <v>774</v>
      </c>
      <c r="I9" s="19">
        <v>6.73</v>
      </c>
      <c r="J9" s="32" t="s">
        <v>775</v>
      </c>
      <c r="K9" s="32"/>
    </row>
    <row r="10" spans="1:11" x14ac:dyDescent="0.45">
      <c r="A10" s="19" t="s">
        <v>776</v>
      </c>
      <c r="B10" s="7">
        <v>45526</v>
      </c>
      <c r="C10" s="19">
        <v>5</v>
      </c>
      <c r="D10" s="7"/>
      <c r="F10" s="19" t="s">
        <v>762</v>
      </c>
      <c r="G10" s="19" t="s">
        <v>763</v>
      </c>
      <c r="H10" s="19" t="s">
        <v>777</v>
      </c>
      <c r="I10" s="19">
        <v>7.32</v>
      </c>
      <c r="J10" s="36"/>
      <c r="K10" s="36"/>
    </row>
    <row r="12" spans="1:11" x14ac:dyDescent="0.45">
      <c r="A12" s="1" t="s">
        <v>9</v>
      </c>
      <c r="B12" s="2" t="s">
        <v>778</v>
      </c>
      <c r="F12" s="1" t="s">
        <v>517</v>
      </c>
      <c r="G12" s="2" t="s">
        <v>779</v>
      </c>
    </row>
    <row r="13" spans="1:11" x14ac:dyDescent="0.45">
      <c r="A13" s="20" t="s">
        <v>780</v>
      </c>
      <c r="B13" s="20" t="s">
        <v>781</v>
      </c>
      <c r="C13" s="20" t="s">
        <v>782</v>
      </c>
      <c r="D13" s="20" t="s">
        <v>783</v>
      </c>
      <c r="F13" s="19" t="s">
        <v>10</v>
      </c>
      <c r="G13" s="19" t="s">
        <v>784</v>
      </c>
      <c r="H13" s="19" t="s">
        <v>785</v>
      </c>
      <c r="I13" s="19" t="s">
        <v>786</v>
      </c>
      <c r="J13" s="18" t="s">
        <v>787</v>
      </c>
    </row>
    <row r="14" spans="1:11" x14ac:dyDescent="0.45">
      <c r="A14" s="28" t="s">
        <v>788</v>
      </c>
      <c r="B14" s="28" t="s">
        <v>789</v>
      </c>
      <c r="C14" s="30">
        <v>480</v>
      </c>
      <c r="D14" s="29">
        <v>2640000</v>
      </c>
      <c r="F14" s="19" t="s">
        <v>790</v>
      </c>
      <c r="G14" s="19">
        <v>3.2</v>
      </c>
      <c r="H14" s="19">
        <v>3.5</v>
      </c>
      <c r="I14" s="19">
        <v>3.1</v>
      </c>
      <c r="J14" s="19"/>
    </row>
    <row r="15" spans="1:11" x14ac:dyDescent="0.45">
      <c r="A15" s="28" t="s">
        <v>788</v>
      </c>
      <c r="B15" s="28" t="s">
        <v>791</v>
      </c>
      <c r="C15" s="30">
        <v>650</v>
      </c>
      <c r="D15" s="29">
        <v>3575000</v>
      </c>
      <c r="F15" s="19" t="s">
        <v>792</v>
      </c>
      <c r="G15" s="19">
        <v>1.5</v>
      </c>
      <c r="H15" s="19">
        <v>2.1</v>
      </c>
      <c r="I15" s="19">
        <v>1.8</v>
      </c>
      <c r="J15" s="19"/>
    </row>
    <row r="16" spans="1:11" x14ac:dyDescent="0.45">
      <c r="A16" s="28" t="s">
        <v>788</v>
      </c>
      <c r="B16" s="28" t="s">
        <v>793</v>
      </c>
      <c r="C16" s="30">
        <v>450</v>
      </c>
      <c r="D16" s="29">
        <v>2475000</v>
      </c>
      <c r="F16" s="19" t="s">
        <v>794</v>
      </c>
      <c r="G16" s="19">
        <v>4.0999999999999996</v>
      </c>
      <c r="H16" s="19">
        <v>4.2</v>
      </c>
      <c r="I16" s="19">
        <v>4.0999999999999996</v>
      </c>
      <c r="J16" s="19"/>
    </row>
    <row r="17" spans="1:10" x14ac:dyDescent="0.45">
      <c r="A17" s="28" t="s">
        <v>795</v>
      </c>
      <c r="B17" s="28" t="s">
        <v>789</v>
      </c>
      <c r="C17" s="30">
        <v>590</v>
      </c>
      <c r="D17" s="29">
        <v>3245000</v>
      </c>
      <c r="F17" s="19" t="s">
        <v>796</v>
      </c>
      <c r="G17" s="19">
        <v>2.5</v>
      </c>
      <c r="H17" s="19">
        <v>2.7</v>
      </c>
      <c r="I17" s="19">
        <v>2.8</v>
      </c>
      <c r="J17" s="19"/>
    </row>
    <row r="18" spans="1:10" x14ac:dyDescent="0.45">
      <c r="A18" s="28" t="s">
        <v>795</v>
      </c>
      <c r="B18" s="28" t="s">
        <v>791</v>
      </c>
      <c r="C18" s="30">
        <v>550</v>
      </c>
      <c r="D18" s="29">
        <v>3025000</v>
      </c>
      <c r="F18" s="19" t="s">
        <v>797</v>
      </c>
      <c r="G18" s="19">
        <v>3.1</v>
      </c>
      <c r="H18" s="19">
        <v>2.9</v>
      </c>
      <c r="I18" s="19">
        <v>3.6</v>
      </c>
      <c r="J18" s="19"/>
    </row>
    <row r="19" spans="1:10" x14ac:dyDescent="0.45">
      <c r="A19" s="28" t="s">
        <v>798</v>
      </c>
      <c r="B19" s="28" t="s">
        <v>799</v>
      </c>
      <c r="C19" s="30">
        <v>620</v>
      </c>
      <c r="D19" s="29">
        <v>3410000</v>
      </c>
      <c r="F19" s="19" t="s">
        <v>800</v>
      </c>
      <c r="G19" s="19">
        <v>2.8</v>
      </c>
      <c r="H19" s="19">
        <v>2.5</v>
      </c>
      <c r="I19" s="19">
        <v>2.7</v>
      </c>
      <c r="J19" s="19"/>
    </row>
    <row r="20" spans="1:10" x14ac:dyDescent="0.45">
      <c r="A20" s="28" t="s">
        <v>798</v>
      </c>
      <c r="B20" s="28" t="s">
        <v>793</v>
      </c>
      <c r="C20" s="30">
        <v>500</v>
      </c>
      <c r="D20" s="29">
        <v>2750000</v>
      </c>
      <c r="F20" s="19" t="s">
        <v>801</v>
      </c>
      <c r="G20" s="19">
        <v>0.9</v>
      </c>
      <c r="H20" s="19">
        <v>1.4</v>
      </c>
      <c r="I20" s="19">
        <v>0.8</v>
      </c>
      <c r="J20" s="19"/>
    </row>
    <row r="21" spans="1:10" x14ac:dyDescent="0.45">
      <c r="A21" s="28" t="s">
        <v>802</v>
      </c>
      <c r="B21" s="28" t="s">
        <v>791</v>
      </c>
      <c r="C21" s="30">
        <v>680</v>
      </c>
      <c r="D21" s="29">
        <v>3740000</v>
      </c>
      <c r="F21" s="19" t="s">
        <v>803</v>
      </c>
      <c r="G21" s="19">
        <v>3.1</v>
      </c>
      <c r="H21" s="19">
        <v>2.7</v>
      </c>
      <c r="I21" s="19">
        <v>2.4</v>
      </c>
      <c r="J21" s="19"/>
    </row>
    <row r="22" spans="1:10" x14ac:dyDescent="0.45">
      <c r="A22" s="28" t="s">
        <v>802</v>
      </c>
      <c r="B22" s="28" t="s">
        <v>799</v>
      </c>
      <c r="C22" s="30">
        <v>470</v>
      </c>
      <c r="D22" s="29">
        <v>2585000</v>
      </c>
      <c r="F22" s="19" t="s">
        <v>804</v>
      </c>
      <c r="G22" s="19">
        <v>3.6</v>
      </c>
      <c r="H22" s="19">
        <v>3.9</v>
      </c>
      <c r="I22" s="19">
        <v>3.4</v>
      </c>
      <c r="J22" s="19"/>
    </row>
    <row r="23" spans="1:10" x14ac:dyDescent="0.45">
      <c r="A23" s="45" t="s">
        <v>805</v>
      </c>
      <c r="B23" s="46"/>
      <c r="C23" s="47"/>
      <c r="D23" s="29"/>
      <c r="F23" s="19" t="s">
        <v>806</v>
      </c>
      <c r="G23" s="19">
        <v>3.1</v>
      </c>
      <c r="H23" s="19">
        <v>3.2</v>
      </c>
      <c r="I23" s="19">
        <v>3.5</v>
      </c>
      <c r="J23" s="19"/>
    </row>
    <row r="25" spans="1:10" x14ac:dyDescent="0.45">
      <c r="A25" s="1" t="s">
        <v>565</v>
      </c>
      <c r="B25" s="2" t="s">
        <v>807</v>
      </c>
      <c r="F25" s="31" t="s">
        <v>808</v>
      </c>
      <c r="G25" s="31"/>
    </row>
    <row r="26" spans="1:10" x14ac:dyDescent="0.45">
      <c r="A26" s="19" t="s">
        <v>10</v>
      </c>
      <c r="B26" s="19" t="s">
        <v>809</v>
      </c>
      <c r="C26" s="19" t="s">
        <v>810</v>
      </c>
      <c r="D26" s="18" t="s">
        <v>811</v>
      </c>
      <c r="F26" s="19" t="s">
        <v>812</v>
      </c>
      <c r="G26" s="19" t="s">
        <v>813</v>
      </c>
    </row>
    <row r="27" spans="1:10" x14ac:dyDescent="0.45">
      <c r="A27" s="19" t="s">
        <v>814</v>
      </c>
      <c r="B27" s="19">
        <v>100215368</v>
      </c>
      <c r="C27" s="19" t="s">
        <v>815</v>
      </c>
      <c r="D27" s="19"/>
      <c r="F27" s="19">
        <v>1</v>
      </c>
      <c r="G27" s="19" t="s">
        <v>816</v>
      </c>
    </row>
    <row r="28" spans="1:10" x14ac:dyDescent="0.45">
      <c r="A28" s="19" t="s">
        <v>817</v>
      </c>
      <c r="B28" s="19">
        <v>101433025</v>
      </c>
      <c r="C28" s="19" t="s">
        <v>818</v>
      </c>
      <c r="D28" s="19"/>
      <c r="F28" s="19">
        <v>2</v>
      </c>
      <c r="G28" s="19" t="s">
        <v>819</v>
      </c>
    </row>
    <row r="29" spans="1:10" x14ac:dyDescent="0.45">
      <c r="A29" s="19" t="s">
        <v>820</v>
      </c>
      <c r="B29" s="19">
        <v>101029041</v>
      </c>
      <c r="C29" s="19" t="s">
        <v>818</v>
      </c>
      <c r="D29" s="19"/>
      <c r="F29" s="19">
        <v>3</v>
      </c>
      <c r="G29" s="19" t="s">
        <v>821</v>
      </c>
    </row>
    <row r="30" spans="1:10" x14ac:dyDescent="0.45">
      <c r="A30" s="19" t="s">
        <v>822</v>
      </c>
      <c r="B30" s="19">
        <v>101624257</v>
      </c>
      <c r="C30" s="19" t="s">
        <v>815</v>
      </c>
      <c r="D30" s="19"/>
    </row>
    <row r="31" spans="1:10" x14ac:dyDescent="0.45">
      <c r="A31" s="19" t="s">
        <v>823</v>
      </c>
      <c r="B31" s="19">
        <v>100218961</v>
      </c>
      <c r="C31" s="19" t="s">
        <v>824</v>
      </c>
      <c r="D31" s="19"/>
    </row>
    <row r="32" spans="1:10" x14ac:dyDescent="0.45">
      <c r="A32" s="19" t="s">
        <v>825</v>
      </c>
      <c r="B32" s="19">
        <v>101435487</v>
      </c>
      <c r="C32" s="19" t="s">
        <v>824</v>
      </c>
      <c r="D32" s="19"/>
    </row>
    <row r="33" spans="1:4" x14ac:dyDescent="0.45">
      <c r="A33" s="19" t="s">
        <v>16</v>
      </c>
      <c r="B33" s="19">
        <v>101126698</v>
      </c>
      <c r="C33" s="19" t="s">
        <v>815</v>
      </c>
      <c r="D33" s="19"/>
    </row>
    <row r="34" spans="1:4" x14ac:dyDescent="0.45">
      <c r="A34" s="19" t="s">
        <v>826</v>
      </c>
      <c r="B34" s="19">
        <v>101125804</v>
      </c>
      <c r="C34" s="19" t="s">
        <v>824</v>
      </c>
      <c r="D34" s="19"/>
    </row>
    <row r="35" spans="1:4" x14ac:dyDescent="0.45">
      <c r="A35" s="19" t="s">
        <v>827</v>
      </c>
      <c r="B35" s="19">
        <v>101531523</v>
      </c>
      <c r="C35" s="19" t="s">
        <v>818</v>
      </c>
      <c r="D35" s="19"/>
    </row>
    <row r="36" spans="1:4" x14ac:dyDescent="0.45">
      <c r="A36" s="19" t="s">
        <v>828</v>
      </c>
      <c r="B36" s="19">
        <v>101636857</v>
      </c>
      <c r="C36" s="19" t="s">
        <v>824</v>
      </c>
      <c r="D36" s="19"/>
    </row>
  </sheetData>
  <mergeCells count="4">
    <mergeCell ref="J9:K9"/>
    <mergeCell ref="J10:K10"/>
    <mergeCell ref="A23:C23"/>
    <mergeCell ref="F25:G25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C9A77-6EF8-4262-B7C1-B4BB36F1F8C1}">
  <dimension ref="A1:K37"/>
  <sheetViews>
    <sheetView workbookViewId="0"/>
  </sheetViews>
  <sheetFormatPr defaultRowHeight="17" x14ac:dyDescent="0.45"/>
  <cols>
    <col min="5" max="5" width="9.33203125" bestFit="1" customWidth="1"/>
    <col min="10" max="11" width="10.08203125" customWidth="1"/>
  </cols>
  <sheetData>
    <row r="1" spans="1:11" x14ac:dyDescent="0.45">
      <c r="A1" s="1" t="s">
        <v>0</v>
      </c>
      <c r="B1" s="2" t="s">
        <v>76</v>
      </c>
      <c r="F1" s="1" t="s">
        <v>2</v>
      </c>
      <c r="G1" s="2" t="s">
        <v>77</v>
      </c>
    </row>
    <row r="2" spans="1:11" x14ac:dyDescent="0.45">
      <c r="A2" s="4" t="s">
        <v>68</v>
      </c>
      <c r="B2" s="4" t="s">
        <v>5</v>
      </c>
      <c r="C2" s="4" t="s">
        <v>4</v>
      </c>
      <c r="D2" s="5" t="s">
        <v>40</v>
      </c>
      <c r="F2" s="4" t="s">
        <v>28</v>
      </c>
      <c r="G2" s="4" t="s">
        <v>47</v>
      </c>
      <c r="H2" s="4" t="s">
        <v>59</v>
      </c>
      <c r="J2" s="33" t="s">
        <v>78</v>
      </c>
      <c r="K2" s="34"/>
    </row>
    <row r="3" spans="1:11" x14ac:dyDescent="0.45">
      <c r="A3" s="4" t="s">
        <v>79</v>
      </c>
      <c r="B3" s="4" t="s">
        <v>80</v>
      </c>
      <c r="C3" s="4" t="s">
        <v>8</v>
      </c>
      <c r="D3" s="4"/>
      <c r="F3" s="4" t="s">
        <v>81</v>
      </c>
      <c r="G3" s="4" t="s">
        <v>82</v>
      </c>
      <c r="H3" s="4">
        <v>92</v>
      </c>
      <c r="J3" s="38"/>
      <c r="K3" s="39"/>
    </row>
    <row r="4" spans="1:11" x14ac:dyDescent="0.45">
      <c r="A4" s="4" t="s">
        <v>83</v>
      </c>
      <c r="B4" s="4" t="s">
        <v>84</v>
      </c>
      <c r="C4" s="4" t="s">
        <v>8</v>
      </c>
      <c r="D4" s="4"/>
      <c r="F4" s="4" t="s">
        <v>85</v>
      </c>
      <c r="G4" s="4" t="s">
        <v>86</v>
      </c>
      <c r="H4" s="4">
        <v>89</v>
      </c>
    </row>
    <row r="5" spans="1:11" x14ac:dyDescent="0.45">
      <c r="A5" s="4" t="s">
        <v>87</v>
      </c>
      <c r="B5" s="4" t="s">
        <v>88</v>
      </c>
      <c r="C5" s="4" t="s">
        <v>8</v>
      </c>
      <c r="D5" s="4"/>
      <c r="F5" s="4" t="s">
        <v>89</v>
      </c>
      <c r="G5" s="4" t="s">
        <v>90</v>
      </c>
      <c r="H5" s="4">
        <v>59</v>
      </c>
    </row>
    <row r="6" spans="1:11" x14ac:dyDescent="0.45">
      <c r="A6" s="4" t="s">
        <v>91</v>
      </c>
      <c r="B6" s="4" t="s">
        <v>67</v>
      </c>
      <c r="C6" s="4" t="s">
        <v>7</v>
      </c>
      <c r="D6" s="4"/>
      <c r="F6" s="4" t="s">
        <v>92</v>
      </c>
      <c r="G6" s="4" t="s">
        <v>90</v>
      </c>
      <c r="H6" s="4">
        <v>95</v>
      </c>
    </row>
    <row r="7" spans="1:11" x14ac:dyDescent="0.45">
      <c r="A7" s="4" t="s">
        <v>93</v>
      </c>
      <c r="B7" s="4" t="s">
        <v>94</v>
      </c>
      <c r="C7" s="4" t="s">
        <v>7</v>
      </c>
      <c r="D7" s="4"/>
      <c r="F7" s="4" t="s">
        <v>95</v>
      </c>
      <c r="G7" s="4" t="s">
        <v>86</v>
      </c>
      <c r="H7" s="4">
        <v>79</v>
      </c>
    </row>
    <row r="8" spans="1:11" x14ac:dyDescent="0.45">
      <c r="A8" s="4" t="s">
        <v>96</v>
      </c>
      <c r="B8" s="4" t="s">
        <v>97</v>
      </c>
      <c r="C8" s="4" t="s">
        <v>7</v>
      </c>
      <c r="D8" s="4"/>
      <c r="F8" s="4" t="s">
        <v>98</v>
      </c>
      <c r="G8" s="4" t="s">
        <v>82</v>
      </c>
      <c r="H8" s="4">
        <v>65</v>
      </c>
    </row>
    <row r="9" spans="1:11" x14ac:dyDescent="0.45">
      <c r="A9" s="4" t="s">
        <v>99</v>
      </c>
      <c r="B9" s="4" t="s">
        <v>100</v>
      </c>
      <c r="C9" s="4" t="s">
        <v>6</v>
      </c>
      <c r="D9" s="4"/>
      <c r="F9" s="4" t="s">
        <v>101</v>
      </c>
      <c r="G9" s="4" t="s">
        <v>86</v>
      </c>
      <c r="H9" s="4">
        <v>70</v>
      </c>
      <c r="J9" s="31" t="s">
        <v>49</v>
      </c>
      <c r="K9" s="31"/>
    </row>
    <row r="10" spans="1:11" x14ac:dyDescent="0.45">
      <c r="A10" s="4" t="s">
        <v>102</v>
      </c>
      <c r="B10" s="4" t="s">
        <v>103</v>
      </c>
      <c r="C10" s="4" t="s">
        <v>6</v>
      </c>
      <c r="D10" s="4"/>
      <c r="F10" s="4" t="s">
        <v>104</v>
      </c>
      <c r="G10" s="4" t="s">
        <v>82</v>
      </c>
      <c r="H10" s="4">
        <v>88</v>
      </c>
      <c r="J10" s="4"/>
      <c r="K10" s="4"/>
    </row>
    <row r="11" spans="1:11" x14ac:dyDescent="0.45">
      <c r="A11" s="4" t="s">
        <v>105</v>
      </c>
      <c r="B11" s="4" t="s">
        <v>106</v>
      </c>
      <c r="C11" s="4" t="s">
        <v>6</v>
      </c>
      <c r="D11" s="4"/>
      <c r="F11" s="4" t="s">
        <v>107</v>
      </c>
      <c r="G11" s="4" t="s">
        <v>90</v>
      </c>
      <c r="H11" s="4">
        <v>91</v>
      </c>
      <c r="J11" s="4"/>
      <c r="K11" s="4"/>
    </row>
    <row r="13" spans="1:11" x14ac:dyDescent="0.45">
      <c r="A13" s="1" t="s">
        <v>26</v>
      </c>
      <c r="B13" s="2" t="s">
        <v>108</v>
      </c>
      <c r="G13" s="1" t="s">
        <v>25</v>
      </c>
      <c r="H13" s="2" t="s">
        <v>109</v>
      </c>
    </row>
    <row r="14" spans="1:11" x14ac:dyDescent="0.45">
      <c r="A14" s="4" t="s">
        <v>60</v>
      </c>
      <c r="B14" s="4" t="s">
        <v>110</v>
      </c>
      <c r="C14" s="4" t="s">
        <v>72</v>
      </c>
      <c r="D14" s="4" t="s">
        <v>15</v>
      </c>
      <c r="E14" s="4" t="s">
        <v>111</v>
      </c>
      <c r="G14" s="4" t="s">
        <v>112</v>
      </c>
      <c r="H14" s="4" t="s">
        <v>40</v>
      </c>
      <c r="I14" s="4" t="s">
        <v>113</v>
      </c>
      <c r="J14" s="4" t="s">
        <v>48</v>
      </c>
    </row>
    <row r="15" spans="1:11" x14ac:dyDescent="0.45">
      <c r="A15" s="4" t="s">
        <v>114</v>
      </c>
      <c r="B15" s="4" t="s">
        <v>115</v>
      </c>
      <c r="C15" s="6">
        <v>2980</v>
      </c>
      <c r="D15" s="4">
        <v>24</v>
      </c>
      <c r="E15" s="6">
        <v>71520</v>
      </c>
      <c r="G15" s="4">
        <v>168001</v>
      </c>
      <c r="H15" s="4" t="s">
        <v>116</v>
      </c>
      <c r="I15" s="4">
        <v>35</v>
      </c>
      <c r="J15" s="12">
        <v>7.6006944444444446E-2</v>
      </c>
    </row>
    <row r="16" spans="1:11" x14ac:dyDescent="0.45">
      <c r="A16" s="4" t="s">
        <v>114</v>
      </c>
      <c r="B16" s="4" t="s">
        <v>117</v>
      </c>
      <c r="C16" s="6">
        <v>3690</v>
      </c>
      <c r="D16" s="4">
        <v>16</v>
      </c>
      <c r="E16" s="6">
        <v>59040</v>
      </c>
      <c r="G16" s="4">
        <v>168002</v>
      </c>
      <c r="H16" s="4" t="s">
        <v>118</v>
      </c>
      <c r="I16" s="4">
        <v>42</v>
      </c>
      <c r="J16" s="12">
        <v>7.3506944444444444E-2</v>
      </c>
    </row>
    <row r="17" spans="1:10" x14ac:dyDescent="0.45">
      <c r="A17" s="4" t="s">
        <v>119</v>
      </c>
      <c r="B17" s="4" t="s">
        <v>120</v>
      </c>
      <c r="C17" s="6">
        <v>4500</v>
      </c>
      <c r="D17" s="4">
        <v>32</v>
      </c>
      <c r="E17" s="6">
        <v>144000</v>
      </c>
      <c r="G17" s="4">
        <v>168003</v>
      </c>
      <c r="H17" s="4" t="s">
        <v>35</v>
      </c>
      <c r="I17" s="4">
        <v>29</v>
      </c>
      <c r="J17" s="12">
        <v>8.5717592592592595E-2</v>
      </c>
    </row>
    <row r="18" spans="1:10" x14ac:dyDescent="0.45">
      <c r="A18" s="4" t="s">
        <v>114</v>
      </c>
      <c r="B18" s="4" t="s">
        <v>121</v>
      </c>
      <c r="C18" s="6">
        <v>2850</v>
      </c>
      <c r="D18" s="4">
        <v>24</v>
      </c>
      <c r="E18" s="6">
        <v>68400</v>
      </c>
      <c r="G18" s="4">
        <v>168004</v>
      </c>
      <c r="H18" s="4" t="s">
        <v>122</v>
      </c>
      <c r="I18" s="4">
        <v>38</v>
      </c>
      <c r="J18" s="12">
        <v>7.7256944444444434E-2</v>
      </c>
    </row>
    <row r="19" spans="1:10" x14ac:dyDescent="0.45">
      <c r="A19" s="4" t="s">
        <v>119</v>
      </c>
      <c r="B19" s="4" t="s">
        <v>123</v>
      </c>
      <c r="C19" s="6">
        <v>3300</v>
      </c>
      <c r="D19" s="4">
        <v>22</v>
      </c>
      <c r="E19" s="6">
        <v>72600</v>
      </c>
      <c r="G19" s="4">
        <v>168005</v>
      </c>
      <c r="H19" s="4" t="s">
        <v>118</v>
      </c>
      <c r="I19" s="4">
        <v>44</v>
      </c>
      <c r="J19" s="12">
        <v>6.3981481481481486E-2</v>
      </c>
    </row>
    <row r="20" spans="1:10" x14ac:dyDescent="0.45">
      <c r="A20" s="4" t="s">
        <v>119</v>
      </c>
      <c r="B20" s="4" t="s">
        <v>124</v>
      </c>
      <c r="C20" s="6">
        <v>4920</v>
      </c>
      <c r="D20" s="4">
        <v>18</v>
      </c>
      <c r="E20" s="6">
        <v>88560</v>
      </c>
      <c r="G20" s="4">
        <v>168006</v>
      </c>
      <c r="H20" s="4" t="s">
        <v>125</v>
      </c>
      <c r="I20" s="4">
        <v>51</v>
      </c>
      <c r="J20" s="12">
        <v>7.075231481481481E-2</v>
      </c>
    </row>
    <row r="21" spans="1:10" x14ac:dyDescent="0.45">
      <c r="A21" s="4" t="s">
        <v>119</v>
      </c>
      <c r="B21" s="4" t="s">
        <v>126</v>
      </c>
      <c r="C21" s="6">
        <v>3840</v>
      </c>
      <c r="D21" s="4">
        <v>19</v>
      </c>
      <c r="E21" s="6">
        <v>72960</v>
      </c>
      <c r="G21" s="4">
        <v>168007</v>
      </c>
      <c r="H21" s="4" t="s">
        <v>116</v>
      </c>
      <c r="I21" s="4">
        <v>32</v>
      </c>
      <c r="J21" s="12">
        <v>8.4224537037037028E-2</v>
      </c>
    </row>
    <row r="22" spans="1:10" x14ac:dyDescent="0.45">
      <c r="A22" s="4" t="s">
        <v>114</v>
      </c>
      <c r="B22" s="4" t="s">
        <v>127</v>
      </c>
      <c r="C22" s="6">
        <v>3600</v>
      </c>
      <c r="D22" s="4">
        <v>23</v>
      </c>
      <c r="E22" s="6">
        <v>82800</v>
      </c>
      <c r="G22" s="4">
        <v>168008</v>
      </c>
      <c r="H22" s="4" t="s">
        <v>35</v>
      </c>
      <c r="I22" s="4">
        <v>40</v>
      </c>
      <c r="J22" s="12">
        <v>6.9004629629629624E-2</v>
      </c>
    </row>
    <row r="23" spans="1:10" x14ac:dyDescent="0.45">
      <c r="A23" s="4" t="s">
        <v>114</v>
      </c>
      <c r="B23" s="4" t="s">
        <v>128</v>
      </c>
      <c r="C23" s="6">
        <v>4180</v>
      </c>
      <c r="D23" s="4">
        <v>15</v>
      </c>
      <c r="E23" s="6">
        <v>62700</v>
      </c>
      <c r="G23" s="4">
        <v>168009</v>
      </c>
      <c r="H23" s="4" t="s">
        <v>122</v>
      </c>
      <c r="I23" s="4">
        <v>23</v>
      </c>
      <c r="J23" s="12">
        <v>8.0844907407407407E-2</v>
      </c>
    </row>
    <row r="24" spans="1:10" x14ac:dyDescent="0.45">
      <c r="A24" s="33" t="s">
        <v>129</v>
      </c>
      <c r="B24" s="35"/>
      <c r="C24" s="35"/>
      <c r="D24" s="34"/>
      <c r="E24" s="11"/>
      <c r="G24" s="33" t="s">
        <v>130</v>
      </c>
      <c r="H24" s="34"/>
      <c r="I24" s="38"/>
      <c r="J24" s="39"/>
    </row>
    <row r="26" spans="1:10" x14ac:dyDescent="0.45">
      <c r="A26" s="1" t="s">
        <v>17</v>
      </c>
      <c r="B26" s="2" t="s">
        <v>131</v>
      </c>
    </row>
    <row r="27" spans="1:10" x14ac:dyDescent="0.45">
      <c r="A27" s="4" t="s">
        <v>132</v>
      </c>
      <c r="B27" s="4" t="s">
        <v>29</v>
      </c>
      <c r="C27" s="4" t="s">
        <v>43</v>
      </c>
      <c r="D27" s="5" t="s">
        <v>23</v>
      </c>
    </row>
    <row r="28" spans="1:10" x14ac:dyDescent="0.45">
      <c r="A28" s="4" t="s">
        <v>133</v>
      </c>
      <c r="B28" s="4" t="s">
        <v>66</v>
      </c>
      <c r="C28" s="4" t="s">
        <v>134</v>
      </c>
      <c r="D28" s="4"/>
    </row>
    <row r="29" spans="1:10" x14ac:dyDescent="0.45">
      <c r="A29" s="4" t="s">
        <v>135</v>
      </c>
      <c r="B29" s="4" t="s">
        <v>65</v>
      </c>
      <c r="C29" s="4" t="s">
        <v>136</v>
      </c>
      <c r="D29" s="4"/>
    </row>
    <row r="30" spans="1:10" x14ac:dyDescent="0.45">
      <c r="A30" s="4" t="s">
        <v>137</v>
      </c>
      <c r="B30" s="4" t="s">
        <v>65</v>
      </c>
      <c r="C30" s="4" t="s">
        <v>136</v>
      </c>
      <c r="D30" s="4"/>
    </row>
    <row r="31" spans="1:10" x14ac:dyDescent="0.45">
      <c r="A31" s="4" t="s">
        <v>138</v>
      </c>
      <c r="B31" s="4" t="s">
        <v>66</v>
      </c>
      <c r="C31" s="4" t="s">
        <v>136</v>
      </c>
      <c r="D31" s="4"/>
    </row>
    <row r="32" spans="1:10" x14ac:dyDescent="0.45">
      <c r="A32" s="4" t="s">
        <v>139</v>
      </c>
      <c r="B32" s="4" t="s">
        <v>65</v>
      </c>
      <c r="C32" s="4" t="s">
        <v>134</v>
      </c>
      <c r="D32" s="4"/>
    </row>
    <row r="33" spans="1:9" x14ac:dyDescent="0.45">
      <c r="A33" s="4" t="s">
        <v>140</v>
      </c>
      <c r="B33" s="4" t="s">
        <v>66</v>
      </c>
      <c r="C33" s="4" t="s">
        <v>136</v>
      </c>
      <c r="D33" s="4"/>
    </row>
    <row r="34" spans="1:9" x14ac:dyDescent="0.45">
      <c r="A34" s="4" t="s">
        <v>141</v>
      </c>
      <c r="B34" s="4" t="s">
        <v>66</v>
      </c>
      <c r="C34" s="4" t="s">
        <v>134</v>
      </c>
      <c r="D34" s="4"/>
    </row>
    <row r="35" spans="1:9" x14ac:dyDescent="0.45">
      <c r="A35" s="4" t="s">
        <v>142</v>
      </c>
      <c r="B35" s="4" t="s">
        <v>66</v>
      </c>
      <c r="C35" s="4" t="s">
        <v>134</v>
      </c>
      <c r="D35" s="4"/>
      <c r="F35" t="s">
        <v>143</v>
      </c>
    </row>
    <row r="36" spans="1:9" x14ac:dyDescent="0.45">
      <c r="A36" s="4" t="s">
        <v>144</v>
      </c>
      <c r="B36" s="4" t="s">
        <v>65</v>
      </c>
      <c r="C36" s="4" t="s">
        <v>134</v>
      </c>
      <c r="D36" s="4"/>
      <c r="F36" s="4" t="s">
        <v>19</v>
      </c>
      <c r="G36" s="4" t="s">
        <v>145</v>
      </c>
      <c r="H36" s="4" t="s">
        <v>20</v>
      </c>
      <c r="I36" s="4" t="s">
        <v>146</v>
      </c>
    </row>
    <row r="37" spans="1:9" x14ac:dyDescent="0.45">
      <c r="A37" s="4" t="s">
        <v>147</v>
      </c>
      <c r="B37" s="4" t="s">
        <v>65</v>
      </c>
      <c r="C37" s="4" t="s">
        <v>136</v>
      </c>
      <c r="D37" s="4"/>
      <c r="F37" s="4" t="s">
        <v>23</v>
      </c>
      <c r="G37" s="4" t="s">
        <v>57</v>
      </c>
      <c r="H37" s="4" t="s">
        <v>53</v>
      </c>
      <c r="I37" s="4" t="s">
        <v>36</v>
      </c>
    </row>
  </sheetData>
  <mergeCells count="6">
    <mergeCell ref="J2:K2"/>
    <mergeCell ref="J3:K3"/>
    <mergeCell ref="J9:K9"/>
    <mergeCell ref="A24:D24"/>
    <mergeCell ref="G24:H24"/>
    <mergeCell ref="I24:J24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5E6E4-BFE1-4BD5-9C4D-71A78621BD70}">
  <dimension ref="A1:L34"/>
  <sheetViews>
    <sheetView workbookViewId="0"/>
  </sheetViews>
  <sheetFormatPr defaultRowHeight="17" x14ac:dyDescent="0.45"/>
  <cols>
    <col min="2" max="2" width="11" bestFit="1" customWidth="1"/>
    <col min="4" max="4" width="11" bestFit="1" customWidth="1"/>
    <col min="6" max="6" width="9.08203125" bestFit="1" customWidth="1"/>
    <col min="8" max="8" width="13" bestFit="1" customWidth="1"/>
    <col min="9" max="9" width="10.83203125" bestFit="1" customWidth="1"/>
    <col min="10" max="10" width="13" bestFit="1" customWidth="1"/>
    <col min="11" max="11" width="5.58203125" customWidth="1"/>
  </cols>
  <sheetData>
    <row r="1" spans="1:12" x14ac:dyDescent="0.45">
      <c r="A1" s="1" t="s">
        <v>0</v>
      </c>
      <c r="B1" s="2" t="s">
        <v>148</v>
      </c>
      <c r="F1" s="1" t="s">
        <v>2</v>
      </c>
      <c r="G1" s="2" t="s">
        <v>149</v>
      </c>
    </row>
    <row r="2" spans="1:12" x14ac:dyDescent="0.45">
      <c r="A2" s="4" t="s">
        <v>27</v>
      </c>
      <c r="B2" s="4" t="s">
        <v>11</v>
      </c>
      <c r="C2" s="4" t="s">
        <v>12</v>
      </c>
      <c r="D2" s="5" t="s">
        <v>150</v>
      </c>
      <c r="F2" s="4" t="s">
        <v>60</v>
      </c>
      <c r="G2" s="4" t="s">
        <v>151</v>
      </c>
      <c r="H2" s="4" t="s">
        <v>152</v>
      </c>
      <c r="I2" s="4" t="s">
        <v>153</v>
      </c>
      <c r="J2" s="4" t="s">
        <v>154</v>
      </c>
      <c r="L2" s="4"/>
    </row>
    <row r="3" spans="1:12" x14ac:dyDescent="0.45">
      <c r="A3" s="4" t="s">
        <v>38</v>
      </c>
      <c r="B3" s="8">
        <v>0.38194444444444442</v>
      </c>
      <c r="C3" s="8">
        <v>0.47222222222222227</v>
      </c>
      <c r="D3" s="4"/>
      <c r="F3" s="4" t="s">
        <v>155</v>
      </c>
      <c r="G3" s="4">
        <v>69</v>
      </c>
      <c r="H3" s="6">
        <v>150000000</v>
      </c>
      <c r="I3" s="6">
        <v>2100000</v>
      </c>
      <c r="J3" s="6">
        <v>230000000</v>
      </c>
      <c r="L3" s="4"/>
    </row>
    <row r="4" spans="1:12" x14ac:dyDescent="0.45">
      <c r="A4" s="4" t="s">
        <v>156</v>
      </c>
      <c r="B4" s="8">
        <v>0.39861111111111108</v>
      </c>
      <c r="C4" s="8">
        <v>0.44513888888888892</v>
      </c>
      <c r="D4" s="4"/>
      <c r="F4" s="4" t="s">
        <v>157</v>
      </c>
      <c r="G4" s="4">
        <v>79</v>
      </c>
      <c r="H4" s="6">
        <v>170000000</v>
      </c>
      <c r="I4" s="6">
        <v>2500000</v>
      </c>
      <c r="J4" s="6">
        <v>260000000</v>
      </c>
    </row>
    <row r="5" spans="1:12" x14ac:dyDescent="0.45">
      <c r="A5" s="4" t="s">
        <v>158</v>
      </c>
      <c r="B5" s="8">
        <v>0.41875000000000001</v>
      </c>
      <c r="C5" s="8">
        <v>0.49791666666666662</v>
      </c>
      <c r="D5" s="4"/>
      <c r="F5" s="4" t="s">
        <v>159</v>
      </c>
      <c r="G5" s="4">
        <v>66</v>
      </c>
      <c r="H5" s="6">
        <v>150000000</v>
      </c>
      <c r="I5" s="6">
        <v>2100000</v>
      </c>
      <c r="J5" s="6">
        <v>210000000</v>
      </c>
    </row>
    <row r="6" spans="1:12" x14ac:dyDescent="0.45">
      <c r="A6" s="4" t="s">
        <v>160</v>
      </c>
      <c r="B6" s="8">
        <v>0.4368055555555555</v>
      </c>
      <c r="C6" s="8">
        <v>0.48333333333333334</v>
      </c>
      <c r="D6" s="4"/>
      <c r="F6" s="4" t="s">
        <v>161</v>
      </c>
      <c r="G6" s="4">
        <v>148</v>
      </c>
      <c r="H6" s="6">
        <v>330000000</v>
      </c>
      <c r="I6" s="6">
        <v>4700000</v>
      </c>
      <c r="J6" s="6">
        <v>480000000</v>
      </c>
    </row>
    <row r="7" spans="1:12" x14ac:dyDescent="0.45">
      <c r="A7" s="4" t="s">
        <v>162</v>
      </c>
      <c r="B7" s="8">
        <v>0.4381944444444445</v>
      </c>
      <c r="C7" s="8">
        <v>0.50624999999999998</v>
      </c>
      <c r="D7" s="4"/>
      <c r="F7" s="4" t="s">
        <v>155</v>
      </c>
      <c r="G7" s="4">
        <v>72</v>
      </c>
      <c r="H7" s="6">
        <v>160000000</v>
      </c>
      <c r="I7" s="6">
        <v>2200000</v>
      </c>
      <c r="J7" s="6">
        <v>230000000</v>
      </c>
    </row>
    <row r="8" spans="1:12" x14ac:dyDescent="0.45">
      <c r="A8" s="4" t="s">
        <v>163</v>
      </c>
      <c r="B8" s="8">
        <v>0.44791666666666669</v>
      </c>
      <c r="C8" s="8">
        <v>0.5229166666666667</v>
      </c>
      <c r="D8" s="4"/>
      <c r="F8" s="4" t="s">
        <v>157</v>
      </c>
      <c r="G8" s="4">
        <v>105</v>
      </c>
      <c r="H8" s="6">
        <v>230000000</v>
      </c>
      <c r="I8" s="6">
        <v>3300000</v>
      </c>
      <c r="J8" s="6">
        <v>340000000</v>
      </c>
    </row>
    <row r="9" spans="1:12" x14ac:dyDescent="0.45">
      <c r="A9" s="4" t="s">
        <v>164</v>
      </c>
      <c r="B9" s="8">
        <v>0.4597222222222222</v>
      </c>
      <c r="C9" s="8">
        <v>0.50763888888888886</v>
      </c>
      <c r="D9" s="4"/>
      <c r="F9" s="4" t="s">
        <v>161</v>
      </c>
      <c r="G9" s="4">
        <v>135</v>
      </c>
      <c r="H9" s="6">
        <v>300000000</v>
      </c>
      <c r="I9" s="6">
        <v>4200000</v>
      </c>
      <c r="J9" s="6">
        <v>440000000</v>
      </c>
    </row>
    <row r="10" spans="1:12" x14ac:dyDescent="0.45">
      <c r="A10" s="4" t="s">
        <v>165</v>
      </c>
      <c r="B10" s="8">
        <v>0.4680555555555555</v>
      </c>
      <c r="C10" s="8">
        <v>0.54027777777777775</v>
      </c>
      <c r="D10" s="4"/>
      <c r="F10" s="4" t="s">
        <v>157</v>
      </c>
      <c r="G10" s="4">
        <v>99</v>
      </c>
      <c r="H10" s="6">
        <v>220000000</v>
      </c>
      <c r="I10" s="6">
        <v>3100000</v>
      </c>
      <c r="J10" s="6">
        <v>320000000</v>
      </c>
    </row>
    <row r="11" spans="1:12" x14ac:dyDescent="0.45">
      <c r="A11" s="4" t="s">
        <v>166</v>
      </c>
      <c r="B11" s="8">
        <v>0.47569444444444442</v>
      </c>
      <c r="C11" s="8">
        <v>0.53194444444444444</v>
      </c>
      <c r="D11" s="4"/>
      <c r="F11" s="33" t="s">
        <v>167</v>
      </c>
      <c r="G11" s="35"/>
      <c r="H11" s="35"/>
      <c r="I11" s="34"/>
      <c r="J11" s="6"/>
    </row>
    <row r="13" spans="1:12" x14ac:dyDescent="0.45">
      <c r="A13" s="1" t="s">
        <v>26</v>
      </c>
      <c r="B13" s="2" t="s">
        <v>168</v>
      </c>
      <c r="F13" s="1" t="s">
        <v>25</v>
      </c>
      <c r="G13" s="2" t="s">
        <v>169</v>
      </c>
    </row>
    <row r="14" spans="1:12" x14ac:dyDescent="0.45">
      <c r="A14" s="4" t="s">
        <v>170</v>
      </c>
      <c r="B14" s="4" t="s">
        <v>171</v>
      </c>
      <c r="C14" s="4" t="s">
        <v>172</v>
      </c>
      <c r="F14" s="4" t="s">
        <v>13</v>
      </c>
      <c r="G14" s="4" t="s">
        <v>173</v>
      </c>
      <c r="H14" s="4" t="s">
        <v>174</v>
      </c>
      <c r="I14" s="4" t="s">
        <v>175</v>
      </c>
      <c r="J14" s="5" t="s">
        <v>176</v>
      </c>
    </row>
    <row r="15" spans="1:12" x14ac:dyDescent="0.45">
      <c r="A15" s="4">
        <v>1270121</v>
      </c>
      <c r="B15" s="4">
        <v>92</v>
      </c>
      <c r="C15" s="4">
        <v>76</v>
      </c>
      <c r="F15" s="4" t="s">
        <v>177</v>
      </c>
      <c r="G15" s="6">
        <v>1200</v>
      </c>
      <c r="H15" s="6">
        <v>1072</v>
      </c>
      <c r="I15" s="6">
        <v>1400</v>
      </c>
      <c r="J15" s="6"/>
    </row>
    <row r="16" spans="1:12" x14ac:dyDescent="0.45">
      <c r="A16" s="4">
        <v>1270122</v>
      </c>
      <c r="B16" s="4">
        <v>38</v>
      </c>
      <c r="C16" s="4">
        <v>55</v>
      </c>
      <c r="F16" s="4" t="s">
        <v>178</v>
      </c>
      <c r="G16" s="6">
        <v>1500</v>
      </c>
      <c r="H16" s="6">
        <v>1138</v>
      </c>
      <c r="I16" s="6">
        <v>1300</v>
      </c>
      <c r="J16" s="6"/>
    </row>
    <row r="17" spans="1:10" x14ac:dyDescent="0.45">
      <c r="A17" s="4">
        <v>1270123</v>
      </c>
      <c r="B17" s="4">
        <v>86</v>
      </c>
      <c r="C17" s="4">
        <v>92</v>
      </c>
      <c r="F17" s="4" t="s">
        <v>179</v>
      </c>
      <c r="G17" s="6">
        <v>1000</v>
      </c>
      <c r="H17" s="6">
        <v>943</v>
      </c>
      <c r="I17" s="6">
        <v>900</v>
      </c>
      <c r="J17" s="6"/>
    </row>
    <row r="18" spans="1:10" x14ac:dyDescent="0.45">
      <c r="A18" s="4">
        <v>1270124</v>
      </c>
      <c r="B18" s="4">
        <v>62</v>
      </c>
      <c r="C18" s="4">
        <v>48</v>
      </c>
      <c r="F18" s="4" t="s">
        <v>180</v>
      </c>
      <c r="G18" s="6">
        <v>800</v>
      </c>
      <c r="H18" s="6">
        <v>507</v>
      </c>
      <c r="I18" s="6">
        <v>900</v>
      </c>
      <c r="J18" s="6"/>
    </row>
    <row r="19" spans="1:10" x14ac:dyDescent="0.45">
      <c r="A19" s="4">
        <v>1270125</v>
      </c>
      <c r="B19" s="4">
        <v>91</v>
      </c>
      <c r="C19" s="4">
        <v>93</v>
      </c>
      <c r="F19" s="4" t="s">
        <v>181</v>
      </c>
      <c r="G19" s="6">
        <v>1200</v>
      </c>
      <c r="H19" s="6">
        <v>1138</v>
      </c>
      <c r="I19" s="6">
        <v>1000</v>
      </c>
      <c r="J19" s="6"/>
    </row>
    <row r="20" spans="1:10" x14ac:dyDescent="0.45">
      <c r="A20" s="4">
        <v>1270126</v>
      </c>
      <c r="B20" s="4">
        <v>49</v>
      </c>
      <c r="C20" s="4">
        <v>56</v>
      </c>
      <c r="F20" s="4" t="s">
        <v>182</v>
      </c>
      <c r="G20" s="6">
        <v>900</v>
      </c>
      <c r="H20" s="6">
        <v>835</v>
      </c>
      <c r="I20" s="6">
        <v>1000</v>
      </c>
      <c r="J20" s="6"/>
    </row>
    <row r="21" spans="1:10" x14ac:dyDescent="0.45">
      <c r="A21" s="4">
        <v>1270127</v>
      </c>
      <c r="B21" s="4">
        <v>89</v>
      </c>
      <c r="C21" s="4">
        <v>93</v>
      </c>
      <c r="F21" s="4" t="s">
        <v>183</v>
      </c>
      <c r="G21" s="6">
        <v>1000</v>
      </c>
      <c r="H21" s="6">
        <v>719</v>
      </c>
      <c r="I21" s="6">
        <v>1200</v>
      </c>
      <c r="J21" s="6"/>
    </row>
    <row r="22" spans="1:10" x14ac:dyDescent="0.45">
      <c r="A22" s="4">
        <v>1270128</v>
      </c>
      <c r="B22" s="4">
        <v>67</v>
      </c>
      <c r="C22" s="4">
        <v>68</v>
      </c>
      <c r="F22" s="4" t="s">
        <v>184</v>
      </c>
      <c r="G22" s="6">
        <v>1300</v>
      </c>
      <c r="H22" s="6">
        <v>1068</v>
      </c>
      <c r="I22" s="6">
        <v>1200</v>
      </c>
      <c r="J22" s="6"/>
    </row>
    <row r="23" spans="1:10" x14ac:dyDescent="0.45">
      <c r="A23" s="33" t="s">
        <v>185</v>
      </c>
      <c r="B23" s="34"/>
      <c r="C23" s="11"/>
      <c r="F23" s="4" t="s">
        <v>186</v>
      </c>
      <c r="G23" s="6">
        <v>1500</v>
      </c>
      <c r="H23" s="6">
        <v>1329</v>
      </c>
      <c r="I23" s="6">
        <v>1300</v>
      </c>
      <c r="J23" s="6"/>
    </row>
    <row r="25" spans="1:10" x14ac:dyDescent="0.45">
      <c r="A25" s="1" t="s">
        <v>17</v>
      </c>
      <c r="B25" s="2" t="s">
        <v>187</v>
      </c>
    </row>
    <row r="26" spans="1:10" x14ac:dyDescent="0.45">
      <c r="A26" s="4" t="s">
        <v>188</v>
      </c>
      <c r="B26" s="4" t="s">
        <v>189</v>
      </c>
      <c r="C26" s="4" t="s">
        <v>3</v>
      </c>
      <c r="D26" s="5" t="s">
        <v>61</v>
      </c>
      <c r="F26" s="31" t="s">
        <v>190</v>
      </c>
      <c r="G26" s="31"/>
      <c r="H26" s="31"/>
    </row>
    <row r="27" spans="1:10" x14ac:dyDescent="0.45">
      <c r="A27" s="4" t="s">
        <v>191</v>
      </c>
      <c r="B27" s="4">
        <v>2020</v>
      </c>
      <c r="C27" s="4" t="s">
        <v>192</v>
      </c>
      <c r="D27" s="4"/>
      <c r="F27" s="4" t="s">
        <v>193</v>
      </c>
      <c r="G27" s="4" t="s">
        <v>194</v>
      </c>
      <c r="H27" s="4" t="s">
        <v>195</v>
      </c>
    </row>
    <row r="28" spans="1:10" x14ac:dyDescent="0.45">
      <c r="A28" s="4" t="s">
        <v>196</v>
      </c>
      <c r="B28" s="4">
        <v>2020</v>
      </c>
      <c r="C28" s="4" t="s">
        <v>197</v>
      </c>
      <c r="D28" s="4"/>
      <c r="F28" s="4" t="s">
        <v>198</v>
      </c>
      <c r="G28" s="4" t="s">
        <v>199</v>
      </c>
      <c r="H28" s="4" t="s">
        <v>200</v>
      </c>
    </row>
    <row r="29" spans="1:10" x14ac:dyDescent="0.45">
      <c r="A29" s="4" t="s">
        <v>201</v>
      </c>
      <c r="B29" s="4">
        <v>2021</v>
      </c>
      <c r="C29" s="4" t="s">
        <v>202</v>
      </c>
      <c r="D29" s="4"/>
      <c r="F29" s="4" t="s">
        <v>203</v>
      </c>
      <c r="G29" s="4" t="s">
        <v>204</v>
      </c>
      <c r="H29" s="4" t="s">
        <v>205</v>
      </c>
    </row>
    <row r="30" spans="1:10" x14ac:dyDescent="0.45">
      <c r="A30" s="4" t="s">
        <v>206</v>
      </c>
      <c r="B30" s="4">
        <v>2021</v>
      </c>
      <c r="C30" s="4" t="s">
        <v>207</v>
      </c>
      <c r="D30" s="4"/>
      <c r="F30" s="4" t="s">
        <v>208</v>
      </c>
      <c r="G30" s="4" t="s">
        <v>209</v>
      </c>
      <c r="H30" s="4" t="s">
        <v>210</v>
      </c>
    </row>
    <row r="31" spans="1:10" x14ac:dyDescent="0.45">
      <c r="A31" s="4" t="s">
        <v>211</v>
      </c>
      <c r="B31" s="4">
        <v>2022</v>
      </c>
      <c r="C31" s="4" t="s">
        <v>212</v>
      </c>
      <c r="D31" s="4"/>
      <c r="F31" s="4" t="s">
        <v>213</v>
      </c>
      <c r="G31" s="4" t="s">
        <v>214</v>
      </c>
      <c r="H31" s="4" t="s">
        <v>215</v>
      </c>
    </row>
    <row r="32" spans="1:10" x14ac:dyDescent="0.45">
      <c r="A32" s="4" t="s">
        <v>216</v>
      </c>
      <c r="B32" s="4">
        <v>2022</v>
      </c>
      <c r="C32" s="4" t="s">
        <v>217</v>
      </c>
      <c r="D32" s="4"/>
    </row>
    <row r="33" spans="1:4" x14ac:dyDescent="0.45">
      <c r="A33" s="4" t="s">
        <v>218</v>
      </c>
      <c r="B33" s="4">
        <v>2023</v>
      </c>
      <c r="C33" s="4" t="s">
        <v>219</v>
      </c>
      <c r="D33" s="4"/>
    </row>
    <row r="34" spans="1:4" x14ac:dyDescent="0.45">
      <c r="A34" s="4" t="s">
        <v>220</v>
      </c>
      <c r="B34" s="4">
        <v>2023</v>
      </c>
      <c r="C34" s="4" t="s">
        <v>221</v>
      </c>
      <c r="D34" s="4"/>
    </row>
  </sheetData>
  <mergeCells count="3">
    <mergeCell ref="F11:I11"/>
    <mergeCell ref="A23:B23"/>
    <mergeCell ref="F26:H26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ADBE0-D013-4043-B453-76ACBC370EC8}">
  <dimension ref="A1:J35"/>
  <sheetViews>
    <sheetView workbookViewId="0"/>
  </sheetViews>
  <sheetFormatPr defaultRowHeight="17" x14ac:dyDescent="0.45"/>
  <cols>
    <col min="2" max="2" width="11.25" bestFit="1" customWidth="1"/>
    <col min="3" max="3" width="10.83203125" bestFit="1" customWidth="1"/>
    <col min="4" max="4" width="10.5" bestFit="1" customWidth="1"/>
    <col min="5" max="5" width="9.83203125" bestFit="1" customWidth="1"/>
    <col min="9" max="9" width="11" bestFit="1" customWidth="1"/>
  </cols>
  <sheetData>
    <row r="1" spans="1:10" x14ac:dyDescent="0.45">
      <c r="A1" s="13" t="s">
        <v>0</v>
      </c>
      <c r="B1" s="2" t="s">
        <v>222</v>
      </c>
      <c r="F1" s="1" t="s">
        <v>2</v>
      </c>
      <c r="G1" s="2" t="s">
        <v>223</v>
      </c>
    </row>
    <row r="2" spans="1:10" x14ac:dyDescent="0.45">
      <c r="A2" s="4" t="s">
        <v>224</v>
      </c>
      <c r="B2" s="4" t="s">
        <v>225</v>
      </c>
      <c r="C2" s="4" t="s">
        <v>226</v>
      </c>
      <c r="D2" s="5" t="s">
        <v>227</v>
      </c>
      <c r="F2" s="4" t="s">
        <v>228</v>
      </c>
      <c r="G2" s="4" t="s">
        <v>3</v>
      </c>
      <c r="H2" s="4" t="s">
        <v>45</v>
      </c>
      <c r="I2" s="4" t="s">
        <v>41</v>
      </c>
      <c r="J2" s="4" t="s">
        <v>46</v>
      </c>
    </row>
    <row r="3" spans="1:10" x14ac:dyDescent="0.45">
      <c r="A3" s="4" t="s">
        <v>229</v>
      </c>
      <c r="B3" s="7">
        <v>45022</v>
      </c>
      <c r="C3" s="4">
        <v>4</v>
      </c>
      <c r="D3" s="4"/>
      <c r="F3" s="4" t="s">
        <v>230</v>
      </c>
      <c r="G3" s="4" t="s">
        <v>231</v>
      </c>
      <c r="H3" s="4">
        <v>86</v>
      </c>
      <c r="I3" s="4">
        <v>84</v>
      </c>
      <c r="J3" s="4">
        <v>90</v>
      </c>
    </row>
    <row r="4" spans="1:10" x14ac:dyDescent="0.45">
      <c r="A4" s="4" t="s">
        <v>232</v>
      </c>
      <c r="B4" s="7">
        <v>45023</v>
      </c>
      <c r="C4" s="4">
        <v>6</v>
      </c>
      <c r="D4" s="4"/>
      <c r="F4" s="4" t="s">
        <v>233</v>
      </c>
      <c r="G4" s="4" t="s">
        <v>234</v>
      </c>
      <c r="H4" s="4">
        <v>88</v>
      </c>
      <c r="I4" s="4">
        <v>85</v>
      </c>
      <c r="J4" s="4">
        <v>88</v>
      </c>
    </row>
    <row r="5" spans="1:10" x14ac:dyDescent="0.45">
      <c r="A5" s="4" t="s">
        <v>235</v>
      </c>
      <c r="B5" s="7">
        <v>45023</v>
      </c>
      <c r="C5" s="4">
        <v>4</v>
      </c>
      <c r="D5" s="4"/>
      <c r="F5" s="4" t="s">
        <v>230</v>
      </c>
      <c r="G5" s="4" t="s">
        <v>236</v>
      </c>
      <c r="H5" s="4">
        <v>93</v>
      </c>
      <c r="I5" s="4">
        <v>91</v>
      </c>
      <c r="J5" s="4">
        <v>94</v>
      </c>
    </row>
    <row r="6" spans="1:10" x14ac:dyDescent="0.45">
      <c r="A6" s="4" t="s">
        <v>237</v>
      </c>
      <c r="B6" s="7">
        <v>45028</v>
      </c>
      <c r="C6" s="4">
        <v>7</v>
      </c>
      <c r="D6" s="4"/>
      <c r="F6" s="4" t="s">
        <v>238</v>
      </c>
      <c r="G6" s="4" t="s">
        <v>239</v>
      </c>
      <c r="H6" s="4">
        <v>92</v>
      </c>
      <c r="I6" s="4">
        <v>91</v>
      </c>
      <c r="J6" s="4">
        <v>90</v>
      </c>
    </row>
    <row r="7" spans="1:10" x14ac:dyDescent="0.45">
      <c r="A7" s="4" t="s">
        <v>240</v>
      </c>
      <c r="B7" s="7">
        <v>45028</v>
      </c>
      <c r="C7" s="4">
        <v>5</v>
      </c>
      <c r="D7" s="4"/>
      <c r="F7" s="4" t="s">
        <v>233</v>
      </c>
      <c r="G7" s="4" t="s">
        <v>241</v>
      </c>
      <c r="H7" s="4">
        <v>91</v>
      </c>
      <c r="I7" s="4">
        <v>93</v>
      </c>
      <c r="J7" s="4">
        <v>90</v>
      </c>
    </row>
    <row r="8" spans="1:10" x14ac:dyDescent="0.45">
      <c r="A8" s="4" t="s">
        <v>242</v>
      </c>
      <c r="B8" s="7">
        <v>45033</v>
      </c>
      <c r="C8" s="4">
        <v>5</v>
      </c>
      <c r="D8" s="4"/>
      <c r="F8" s="4" t="s">
        <v>230</v>
      </c>
      <c r="G8" s="4" t="s">
        <v>243</v>
      </c>
      <c r="H8" s="4">
        <v>70</v>
      </c>
      <c r="I8" s="4">
        <v>76</v>
      </c>
      <c r="J8" s="4">
        <v>79</v>
      </c>
    </row>
    <row r="9" spans="1:10" x14ac:dyDescent="0.45">
      <c r="A9" s="4" t="s">
        <v>244</v>
      </c>
      <c r="B9" s="7">
        <v>45034</v>
      </c>
      <c r="C9" s="4">
        <v>4</v>
      </c>
      <c r="D9" s="4"/>
      <c r="F9" s="4" t="s">
        <v>238</v>
      </c>
      <c r="G9" s="4" t="s">
        <v>245</v>
      </c>
      <c r="H9" s="4">
        <v>86</v>
      </c>
      <c r="I9" s="4">
        <v>76</v>
      </c>
      <c r="J9" s="4">
        <v>75</v>
      </c>
    </row>
    <row r="10" spans="1:10" x14ac:dyDescent="0.45">
      <c r="A10" s="4" t="s">
        <v>246</v>
      </c>
      <c r="B10" s="7">
        <v>45034</v>
      </c>
      <c r="C10" s="4">
        <v>7</v>
      </c>
      <c r="D10" s="4"/>
      <c r="F10" s="4" t="s">
        <v>233</v>
      </c>
      <c r="G10" s="4" t="s">
        <v>247</v>
      </c>
      <c r="H10" s="4">
        <v>90</v>
      </c>
      <c r="I10" s="4">
        <v>95</v>
      </c>
      <c r="J10" s="4">
        <v>92</v>
      </c>
    </row>
    <row r="11" spans="1:10" x14ac:dyDescent="0.45">
      <c r="A11" s="4" t="s">
        <v>248</v>
      </c>
      <c r="B11" s="7">
        <v>45035</v>
      </c>
      <c r="C11" s="4">
        <v>3</v>
      </c>
      <c r="D11" s="4"/>
      <c r="F11" s="33" t="s">
        <v>249</v>
      </c>
      <c r="G11" s="35"/>
      <c r="H11" s="35"/>
      <c r="I11" s="34"/>
      <c r="J11" s="4"/>
    </row>
    <row r="13" spans="1:10" x14ac:dyDescent="0.45">
      <c r="A13" s="1" t="s">
        <v>26</v>
      </c>
      <c r="B13" s="2" t="s">
        <v>250</v>
      </c>
      <c r="G13" s="13" t="s">
        <v>25</v>
      </c>
      <c r="H13" s="2" t="s">
        <v>251</v>
      </c>
    </row>
    <row r="14" spans="1:10" x14ac:dyDescent="0.45">
      <c r="A14" s="4" t="s">
        <v>14</v>
      </c>
      <c r="B14" s="4" t="s">
        <v>252</v>
      </c>
      <c r="C14" s="4" t="s">
        <v>253</v>
      </c>
      <c r="D14" s="4" t="s">
        <v>254</v>
      </c>
      <c r="E14" s="4" t="s">
        <v>255</v>
      </c>
      <c r="G14" s="4" t="s">
        <v>27</v>
      </c>
      <c r="H14" s="4" t="s">
        <v>29</v>
      </c>
      <c r="I14" s="4" t="s">
        <v>256</v>
      </c>
      <c r="J14" s="5" t="s">
        <v>43</v>
      </c>
    </row>
    <row r="15" spans="1:10" x14ac:dyDescent="0.45">
      <c r="A15" s="4" t="s">
        <v>257</v>
      </c>
      <c r="B15" s="14">
        <v>900000</v>
      </c>
      <c r="C15" s="14">
        <v>1150000</v>
      </c>
      <c r="D15" s="14">
        <v>19</v>
      </c>
      <c r="E15" s="14">
        <v>250000</v>
      </c>
      <c r="G15" s="4" t="s">
        <v>258</v>
      </c>
      <c r="H15" s="4" t="s">
        <v>65</v>
      </c>
      <c r="I15" s="6">
        <v>3524000</v>
      </c>
      <c r="J15" s="4"/>
    </row>
    <row r="16" spans="1:10" x14ac:dyDescent="0.45">
      <c r="A16" s="4" t="s">
        <v>259</v>
      </c>
      <c r="B16" s="14">
        <v>1500000</v>
      </c>
      <c r="C16" s="14">
        <v>1370000</v>
      </c>
      <c r="D16" s="14">
        <v>61</v>
      </c>
      <c r="E16" s="14">
        <v>-130000</v>
      </c>
      <c r="G16" s="4" t="s">
        <v>260</v>
      </c>
      <c r="H16" s="4" t="s">
        <v>65</v>
      </c>
      <c r="I16" s="6">
        <v>883000</v>
      </c>
      <c r="J16" s="4"/>
    </row>
    <row r="17" spans="1:10" x14ac:dyDescent="0.45">
      <c r="A17" s="4" t="s">
        <v>261</v>
      </c>
      <c r="B17" s="14">
        <v>800000</v>
      </c>
      <c r="C17" s="14">
        <v>860000</v>
      </c>
      <c r="D17" s="14">
        <v>32</v>
      </c>
      <c r="E17" s="14">
        <v>60000</v>
      </c>
      <c r="G17" s="4" t="s">
        <v>262</v>
      </c>
      <c r="H17" s="4" t="s">
        <v>66</v>
      </c>
      <c r="I17" s="6">
        <v>1380000</v>
      </c>
      <c r="J17" s="4"/>
    </row>
    <row r="18" spans="1:10" x14ac:dyDescent="0.45">
      <c r="A18" s="4" t="s">
        <v>263</v>
      </c>
      <c r="B18" s="14">
        <v>1200000</v>
      </c>
      <c r="C18" s="14">
        <v>1520000</v>
      </c>
      <c r="D18" s="14">
        <v>9</v>
      </c>
      <c r="E18" s="14">
        <v>320000</v>
      </c>
      <c r="G18" s="4" t="s">
        <v>264</v>
      </c>
      <c r="H18" s="4" t="s">
        <v>65</v>
      </c>
      <c r="I18" s="6">
        <v>4921000</v>
      </c>
      <c r="J18" s="4"/>
    </row>
    <row r="19" spans="1:10" x14ac:dyDescent="0.45">
      <c r="A19" s="4" t="s">
        <v>265</v>
      </c>
      <c r="B19" s="14">
        <v>500000</v>
      </c>
      <c r="C19" s="14">
        <v>402000</v>
      </c>
      <c r="D19" s="14">
        <v>56</v>
      </c>
      <c r="E19" s="14">
        <v>-98000</v>
      </c>
      <c r="G19" s="4" t="s">
        <v>266</v>
      </c>
      <c r="H19" s="4" t="s">
        <v>66</v>
      </c>
      <c r="I19" s="6">
        <v>1665000</v>
      </c>
      <c r="J19" s="4"/>
    </row>
    <row r="20" spans="1:10" x14ac:dyDescent="0.45">
      <c r="A20" s="4" t="s">
        <v>267</v>
      </c>
      <c r="B20" s="14">
        <v>1300000</v>
      </c>
      <c r="C20" s="14">
        <v>1560000</v>
      </c>
      <c r="D20" s="14">
        <v>11</v>
      </c>
      <c r="E20" s="14">
        <v>260000</v>
      </c>
      <c r="G20" s="4" t="s">
        <v>268</v>
      </c>
      <c r="H20" s="4" t="s">
        <v>65</v>
      </c>
      <c r="I20" s="6">
        <v>967000</v>
      </c>
      <c r="J20" s="4"/>
    </row>
    <row r="21" spans="1:10" x14ac:dyDescent="0.45">
      <c r="A21" s="4" t="s">
        <v>269</v>
      </c>
      <c r="B21" s="14">
        <v>1600000</v>
      </c>
      <c r="C21" s="14">
        <v>1930000</v>
      </c>
      <c r="D21" s="14">
        <v>7</v>
      </c>
      <c r="E21" s="14">
        <v>330000</v>
      </c>
      <c r="G21" s="4" t="s">
        <v>270</v>
      </c>
      <c r="H21" s="4" t="s">
        <v>66</v>
      </c>
      <c r="I21" s="6">
        <v>2498000</v>
      </c>
      <c r="J21" s="4"/>
    </row>
    <row r="22" spans="1:10" x14ac:dyDescent="0.45">
      <c r="A22" s="4" t="s">
        <v>271</v>
      </c>
      <c r="B22" s="14">
        <v>700000</v>
      </c>
      <c r="C22" s="14">
        <v>930000</v>
      </c>
      <c r="D22" s="14">
        <v>13</v>
      </c>
      <c r="E22" s="14">
        <v>230000</v>
      </c>
      <c r="G22" s="4" t="s">
        <v>272</v>
      </c>
      <c r="H22" s="4" t="s">
        <v>65</v>
      </c>
      <c r="I22" s="6">
        <v>5240000</v>
      </c>
      <c r="J22" s="4"/>
    </row>
    <row r="23" spans="1:10" x14ac:dyDescent="0.45">
      <c r="A23" s="33" t="s">
        <v>273</v>
      </c>
      <c r="B23" s="35"/>
      <c r="C23" s="35"/>
      <c r="D23" s="34"/>
      <c r="E23" s="14"/>
      <c r="G23" s="4" t="s">
        <v>274</v>
      </c>
      <c r="H23" s="4" t="s">
        <v>66</v>
      </c>
      <c r="I23" s="6">
        <v>2012000</v>
      </c>
      <c r="J23" s="4"/>
    </row>
    <row r="25" spans="1:10" x14ac:dyDescent="0.45">
      <c r="A25" s="1" t="s">
        <v>17</v>
      </c>
      <c r="B25" s="2" t="s">
        <v>275</v>
      </c>
    </row>
    <row r="26" spans="1:10" x14ac:dyDescent="0.45">
      <c r="A26" s="4" t="s">
        <v>37</v>
      </c>
      <c r="B26" s="4" t="s">
        <v>276</v>
      </c>
      <c r="C26" s="4" t="s">
        <v>18</v>
      </c>
      <c r="D26" s="5" t="s">
        <v>51</v>
      </c>
      <c r="F26" t="s">
        <v>277</v>
      </c>
    </row>
    <row r="27" spans="1:10" x14ac:dyDescent="0.45">
      <c r="A27" s="4">
        <v>1</v>
      </c>
      <c r="B27" s="4" t="s">
        <v>278</v>
      </c>
      <c r="C27" s="4">
        <v>3</v>
      </c>
      <c r="D27" s="6"/>
      <c r="F27" s="4" t="s">
        <v>276</v>
      </c>
      <c r="G27" s="4" t="s">
        <v>279</v>
      </c>
      <c r="H27" s="4" t="s">
        <v>278</v>
      </c>
      <c r="I27" s="4" t="s">
        <v>127</v>
      </c>
      <c r="J27" s="4" t="s">
        <v>280</v>
      </c>
    </row>
    <row r="28" spans="1:10" x14ac:dyDescent="0.45">
      <c r="A28" s="4">
        <v>2</v>
      </c>
      <c r="B28" s="4" t="s">
        <v>280</v>
      </c>
      <c r="C28" s="4">
        <v>2</v>
      </c>
      <c r="D28" s="6"/>
      <c r="F28" s="4" t="s">
        <v>281</v>
      </c>
      <c r="G28" s="6">
        <v>3500</v>
      </c>
      <c r="H28" s="6">
        <v>5000</v>
      </c>
      <c r="I28" s="6">
        <v>5500</v>
      </c>
      <c r="J28" s="6">
        <v>7000</v>
      </c>
    </row>
    <row r="29" spans="1:10" x14ac:dyDescent="0.45">
      <c r="A29" s="4">
        <v>3</v>
      </c>
      <c r="B29" s="4" t="s">
        <v>279</v>
      </c>
      <c r="C29" s="4">
        <v>5</v>
      </c>
      <c r="D29" s="6"/>
    </row>
    <row r="30" spans="1:10" x14ac:dyDescent="0.45">
      <c r="A30" s="4">
        <v>4</v>
      </c>
      <c r="B30" s="4" t="s">
        <v>127</v>
      </c>
      <c r="C30" s="4">
        <v>3</v>
      </c>
      <c r="D30" s="6"/>
    </row>
    <row r="31" spans="1:10" x14ac:dyDescent="0.45">
      <c r="A31" s="4">
        <v>5</v>
      </c>
      <c r="B31" s="4" t="s">
        <v>127</v>
      </c>
      <c r="C31" s="4">
        <v>2</v>
      </c>
      <c r="D31" s="6"/>
    </row>
    <row r="32" spans="1:10" x14ac:dyDescent="0.45">
      <c r="A32" s="4">
        <v>6</v>
      </c>
      <c r="B32" s="4" t="s">
        <v>282</v>
      </c>
      <c r="C32" s="4">
        <v>4</v>
      </c>
      <c r="D32" s="6"/>
    </row>
    <row r="33" spans="1:4" x14ac:dyDescent="0.45">
      <c r="A33" s="4">
        <v>7</v>
      </c>
      <c r="B33" s="4" t="s">
        <v>280</v>
      </c>
      <c r="C33" s="4">
        <v>3</v>
      </c>
      <c r="D33" s="6"/>
    </row>
    <row r="34" spans="1:4" x14ac:dyDescent="0.45">
      <c r="A34" s="4">
        <v>8</v>
      </c>
      <c r="B34" s="4" t="s">
        <v>278</v>
      </c>
      <c r="C34" s="4">
        <v>5</v>
      </c>
      <c r="D34" s="6"/>
    </row>
    <row r="35" spans="1:4" x14ac:dyDescent="0.45">
      <c r="A35" s="4">
        <v>9</v>
      </c>
      <c r="B35" s="4" t="s">
        <v>279</v>
      </c>
      <c r="C35" s="4">
        <v>6</v>
      </c>
      <c r="D35" s="6"/>
    </row>
  </sheetData>
  <mergeCells count="2">
    <mergeCell ref="F11:I11"/>
    <mergeCell ref="A23:D23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2A412-565F-4CEB-9644-D9CF47A156C4}">
  <dimension ref="A1:I34"/>
  <sheetViews>
    <sheetView workbookViewId="0"/>
  </sheetViews>
  <sheetFormatPr defaultRowHeight="17" x14ac:dyDescent="0.45"/>
  <cols>
    <col min="5" max="5" width="12.33203125" bestFit="1" customWidth="1"/>
    <col min="6" max="6" width="11" bestFit="1" customWidth="1"/>
    <col min="7" max="7" width="11.08203125" bestFit="1" customWidth="1"/>
  </cols>
  <sheetData>
    <row r="1" spans="1:9" x14ac:dyDescent="0.45">
      <c r="A1" s="1" t="s">
        <v>0</v>
      </c>
      <c r="B1" s="2" t="s">
        <v>283</v>
      </c>
      <c r="F1" s="1" t="s">
        <v>2</v>
      </c>
      <c r="G1" s="2" t="s">
        <v>284</v>
      </c>
    </row>
    <row r="2" spans="1:9" x14ac:dyDescent="0.45">
      <c r="A2" s="4" t="s">
        <v>5</v>
      </c>
      <c r="B2" s="4" t="s">
        <v>285</v>
      </c>
      <c r="C2" s="4" t="s">
        <v>286</v>
      </c>
      <c r="D2" s="4" t="s">
        <v>69</v>
      </c>
      <c r="F2" s="4" t="s">
        <v>287</v>
      </c>
      <c r="G2" s="4" t="s">
        <v>33</v>
      </c>
      <c r="H2" s="5" t="s">
        <v>60</v>
      </c>
    </row>
    <row r="3" spans="1:9" x14ac:dyDescent="0.45">
      <c r="A3" s="4" t="s">
        <v>288</v>
      </c>
      <c r="B3" s="4">
        <v>86</v>
      </c>
      <c r="C3" s="4">
        <v>81</v>
      </c>
      <c r="D3" s="4">
        <v>167</v>
      </c>
      <c r="F3" s="4" t="s">
        <v>289</v>
      </c>
      <c r="G3" s="7">
        <v>44988</v>
      </c>
      <c r="H3" s="4"/>
    </row>
    <row r="4" spans="1:9" x14ac:dyDescent="0.45">
      <c r="A4" s="4" t="s">
        <v>290</v>
      </c>
      <c r="B4" s="4">
        <v>38</v>
      </c>
      <c r="C4" s="4">
        <v>42</v>
      </c>
      <c r="D4" s="4">
        <v>80</v>
      </c>
      <c r="F4" s="4" t="s">
        <v>291</v>
      </c>
      <c r="G4" s="7">
        <v>44989</v>
      </c>
      <c r="H4" s="4"/>
    </row>
    <row r="5" spans="1:9" x14ac:dyDescent="0.45">
      <c r="A5" s="4" t="s">
        <v>39</v>
      </c>
      <c r="B5" s="4">
        <v>93</v>
      </c>
      <c r="C5" s="4">
        <v>92</v>
      </c>
      <c r="D5" s="4">
        <v>185</v>
      </c>
      <c r="F5" s="4" t="s">
        <v>292</v>
      </c>
      <c r="G5" s="7">
        <v>44990</v>
      </c>
      <c r="H5" s="4"/>
    </row>
    <row r="6" spans="1:9" x14ac:dyDescent="0.45">
      <c r="A6" s="4" t="s">
        <v>293</v>
      </c>
      <c r="B6" s="4">
        <v>82</v>
      </c>
      <c r="C6" s="4">
        <v>79</v>
      </c>
      <c r="D6" s="4">
        <v>161</v>
      </c>
      <c r="F6" s="4" t="s">
        <v>294</v>
      </c>
      <c r="G6" s="7">
        <v>44995</v>
      </c>
      <c r="H6" s="4"/>
    </row>
    <row r="7" spans="1:9" x14ac:dyDescent="0.45">
      <c r="A7" s="4" t="s">
        <v>295</v>
      </c>
      <c r="B7" s="4">
        <v>74</v>
      </c>
      <c r="C7" s="4">
        <v>81</v>
      </c>
      <c r="D7" s="4">
        <v>155</v>
      </c>
      <c r="F7" s="4" t="s">
        <v>296</v>
      </c>
      <c r="G7" s="7">
        <v>44996</v>
      </c>
      <c r="H7" s="4"/>
    </row>
    <row r="8" spans="1:9" x14ac:dyDescent="0.45">
      <c r="A8" s="4" t="s">
        <v>297</v>
      </c>
      <c r="B8" s="4">
        <v>92</v>
      </c>
      <c r="C8" s="4">
        <v>95</v>
      </c>
      <c r="D8" s="4">
        <v>187</v>
      </c>
      <c r="F8" s="4" t="s">
        <v>298</v>
      </c>
      <c r="G8" s="7">
        <v>44997</v>
      </c>
      <c r="H8" s="4"/>
    </row>
    <row r="9" spans="1:9" x14ac:dyDescent="0.45">
      <c r="A9" s="4" t="s">
        <v>299</v>
      </c>
      <c r="B9" s="4">
        <v>69</v>
      </c>
      <c r="C9" s="4">
        <v>68</v>
      </c>
      <c r="D9" s="4">
        <v>137</v>
      </c>
      <c r="F9" s="4" t="s">
        <v>300</v>
      </c>
      <c r="G9" s="7">
        <v>45003</v>
      </c>
      <c r="H9" s="4"/>
    </row>
    <row r="10" spans="1:9" x14ac:dyDescent="0.45">
      <c r="A10" s="4" t="s">
        <v>301</v>
      </c>
      <c r="B10" s="4">
        <v>59</v>
      </c>
      <c r="C10" s="4">
        <v>43</v>
      </c>
      <c r="D10" s="4">
        <v>102</v>
      </c>
      <c r="F10" s="4" t="s">
        <v>302</v>
      </c>
      <c r="G10" s="7">
        <v>45004</v>
      </c>
      <c r="H10" s="4"/>
    </row>
    <row r="11" spans="1:9" x14ac:dyDescent="0.45">
      <c r="A11" s="33" t="s">
        <v>303</v>
      </c>
      <c r="B11" s="35"/>
      <c r="C11" s="34"/>
      <c r="D11" s="11"/>
      <c r="F11" s="4" t="s">
        <v>304</v>
      </c>
      <c r="G11" s="7">
        <v>45005</v>
      </c>
      <c r="H11" s="4"/>
    </row>
    <row r="13" spans="1:9" x14ac:dyDescent="0.45">
      <c r="A13" s="1" t="s">
        <v>26</v>
      </c>
      <c r="B13" s="2" t="s">
        <v>1</v>
      </c>
      <c r="G13" s="13" t="s">
        <v>25</v>
      </c>
      <c r="H13" s="2" t="s">
        <v>305</v>
      </c>
    </row>
    <row r="14" spans="1:9" x14ac:dyDescent="0.45">
      <c r="A14" s="4" t="s">
        <v>5</v>
      </c>
      <c r="B14" s="4" t="s">
        <v>306</v>
      </c>
      <c r="C14" s="4" t="s">
        <v>307</v>
      </c>
      <c r="D14" s="4" t="s">
        <v>308</v>
      </c>
      <c r="E14" s="5" t="s">
        <v>21</v>
      </c>
      <c r="G14" s="4" t="s">
        <v>21</v>
      </c>
      <c r="H14" s="4" t="s">
        <v>15</v>
      </c>
      <c r="I14" s="5" t="s">
        <v>22</v>
      </c>
    </row>
    <row r="15" spans="1:9" x14ac:dyDescent="0.45">
      <c r="A15" s="4" t="s">
        <v>309</v>
      </c>
      <c r="B15" s="4">
        <v>2020</v>
      </c>
      <c r="C15" s="4" t="s">
        <v>310</v>
      </c>
      <c r="D15" s="4" t="s">
        <v>57</v>
      </c>
      <c r="E15" s="4"/>
      <c r="G15" s="4" t="s">
        <v>311</v>
      </c>
      <c r="H15" s="6">
        <v>1253</v>
      </c>
      <c r="I15" s="4"/>
    </row>
    <row r="16" spans="1:9" x14ac:dyDescent="0.45">
      <c r="A16" s="4" t="s">
        <v>312</v>
      </c>
      <c r="B16" s="4">
        <v>2019</v>
      </c>
      <c r="C16" s="4" t="s">
        <v>313</v>
      </c>
      <c r="D16" s="4" t="s">
        <v>36</v>
      </c>
      <c r="E16" s="4"/>
      <c r="G16" s="4" t="s">
        <v>314</v>
      </c>
      <c r="H16" s="6">
        <v>1657</v>
      </c>
      <c r="I16" s="4"/>
    </row>
    <row r="17" spans="1:9" x14ac:dyDescent="0.45">
      <c r="A17" s="4" t="s">
        <v>315</v>
      </c>
      <c r="B17" s="4">
        <v>2018</v>
      </c>
      <c r="C17" s="4" t="s">
        <v>316</v>
      </c>
      <c r="D17" s="4" t="s">
        <v>57</v>
      </c>
      <c r="E17" s="4"/>
      <c r="G17" s="4" t="s">
        <v>317</v>
      </c>
      <c r="H17" s="6">
        <v>2666</v>
      </c>
      <c r="I17" s="4"/>
    </row>
    <row r="18" spans="1:9" x14ac:dyDescent="0.45">
      <c r="A18" s="4" t="s">
        <v>318</v>
      </c>
      <c r="B18" s="4">
        <v>2022</v>
      </c>
      <c r="C18" s="4" t="s">
        <v>319</v>
      </c>
      <c r="D18" s="4" t="s">
        <v>34</v>
      </c>
      <c r="E18" s="4"/>
      <c r="G18" s="4" t="s">
        <v>320</v>
      </c>
      <c r="H18" s="6">
        <v>1809</v>
      </c>
      <c r="I18" s="4"/>
    </row>
    <row r="19" spans="1:9" x14ac:dyDescent="0.45">
      <c r="A19" s="4" t="s">
        <v>321</v>
      </c>
      <c r="B19" s="4">
        <v>2021</v>
      </c>
      <c r="C19" s="4" t="s">
        <v>322</v>
      </c>
      <c r="D19" s="4" t="s">
        <v>57</v>
      </c>
      <c r="E19" s="4"/>
      <c r="G19" s="4" t="s">
        <v>323</v>
      </c>
      <c r="H19" s="6">
        <v>2468</v>
      </c>
      <c r="I19" s="4"/>
    </row>
    <row r="20" spans="1:9" x14ac:dyDescent="0.45">
      <c r="A20" s="4" t="s">
        <v>324</v>
      </c>
      <c r="B20" s="4">
        <v>2019</v>
      </c>
      <c r="C20" s="4" t="s">
        <v>325</v>
      </c>
      <c r="D20" s="4" t="s">
        <v>36</v>
      </c>
      <c r="E20" s="4"/>
      <c r="G20" s="4" t="s">
        <v>326</v>
      </c>
      <c r="H20" s="6">
        <v>2578</v>
      </c>
      <c r="I20" s="4"/>
    </row>
    <row r="21" spans="1:9" x14ac:dyDescent="0.45">
      <c r="A21" s="4" t="s">
        <v>327</v>
      </c>
      <c r="B21" s="4">
        <v>2021</v>
      </c>
      <c r="C21" s="4" t="s">
        <v>328</v>
      </c>
      <c r="D21" s="4" t="s">
        <v>34</v>
      </c>
      <c r="E21" s="4"/>
      <c r="G21" s="4" t="s">
        <v>329</v>
      </c>
      <c r="H21" s="6">
        <v>1027</v>
      </c>
      <c r="I21" s="4"/>
    </row>
    <row r="22" spans="1:9" x14ac:dyDescent="0.45">
      <c r="A22" s="4" t="s">
        <v>330</v>
      </c>
      <c r="B22" s="4">
        <v>2019</v>
      </c>
      <c r="C22" s="4" t="s">
        <v>331</v>
      </c>
      <c r="D22" s="4" t="s">
        <v>36</v>
      </c>
      <c r="E22" s="4"/>
      <c r="G22" s="4" t="s">
        <v>332</v>
      </c>
      <c r="H22" s="6">
        <v>1968</v>
      </c>
      <c r="I22" s="4"/>
    </row>
    <row r="24" spans="1:9" x14ac:dyDescent="0.45">
      <c r="A24" s="1" t="s">
        <v>17</v>
      </c>
      <c r="B24" s="2" t="s">
        <v>333</v>
      </c>
    </row>
    <row r="25" spans="1:9" x14ac:dyDescent="0.45">
      <c r="A25" s="4" t="s">
        <v>56</v>
      </c>
      <c r="B25" s="4" t="s">
        <v>334</v>
      </c>
      <c r="C25" s="4" t="s">
        <v>335</v>
      </c>
      <c r="D25" s="4" t="s">
        <v>336</v>
      </c>
      <c r="E25" s="4" t="s">
        <v>337</v>
      </c>
      <c r="F25" s="4" t="s">
        <v>338</v>
      </c>
      <c r="G25" s="5" t="s">
        <v>24</v>
      </c>
    </row>
    <row r="26" spans="1:9" x14ac:dyDescent="0.45">
      <c r="A26" s="4" t="s">
        <v>339</v>
      </c>
      <c r="B26" s="4">
        <v>86</v>
      </c>
      <c r="C26" s="4">
        <v>88</v>
      </c>
      <c r="D26" s="4">
        <v>92</v>
      </c>
      <c r="E26" s="4">
        <v>86</v>
      </c>
      <c r="F26" s="4">
        <v>90</v>
      </c>
      <c r="G26" s="4"/>
    </row>
    <row r="27" spans="1:9" x14ac:dyDescent="0.45">
      <c r="A27" s="4" t="s">
        <v>340</v>
      </c>
      <c r="B27" s="4">
        <v>92</v>
      </c>
      <c r="C27" s="4">
        <v>93</v>
      </c>
      <c r="D27" s="4">
        <v>94</v>
      </c>
      <c r="E27" s="4">
        <v>93</v>
      </c>
      <c r="F27" s="4">
        <v>94</v>
      </c>
      <c r="G27" s="4"/>
    </row>
    <row r="28" spans="1:9" x14ac:dyDescent="0.45">
      <c r="A28" s="4" t="s">
        <v>341</v>
      </c>
      <c r="B28" s="4">
        <v>94</v>
      </c>
      <c r="C28" s="4">
        <v>84</v>
      </c>
      <c r="D28" s="4">
        <v>88</v>
      </c>
      <c r="E28" s="4">
        <v>92</v>
      </c>
      <c r="F28" s="4">
        <v>90</v>
      </c>
      <c r="G28" s="4"/>
    </row>
    <row r="29" spans="1:9" x14ac:dyDescent="0.45">
      <c r="A29" s="4" t="s">
        <v>342</v>
      </c>
      <c r="B29" s="4">
        <v>79</v>
      </c>
      <c r="C29" s="4">
        <v>84</v>
      </c>
      <c r="D29" s="4">
        <v>87</v>
      </c>
      <c r="E29" s="4">
        <v>83</v>
      </c>
      <c r="F29" s="4">
        <v>85</v>
      </c>
      <c r="G29" s="4"/>
    </row>
    <row r="30" spans="1:9" x14ac:dyDescent="0.45">
      <c r="A30" s="4" t="s">
        <v>343</v>
      </c>
      <c r="B30" s="4">
        <v>82</v>
      </c>
      <c r="C30" s="4">
        <v>72</v>
      </c>
      <c r="D30" s="4">
        <v>75</v>
      </c>
      <c r="E30" s="4">
        <v>80</v>
      </c>
      <c r="F30" s="4">
        <v>76</v>
      </c>
      <c r="G30" s="4"/>
    </row>
    <row r="31" spans="1:9" x14ac:dyDescent="0.45">
      <c r="A31" s="4" t="s">
        <v>344</v>
      </c>
      <c r="B31" s="4">
        <v>69</v>
      </c>
      <c r="C31" s="4">
        <v>68</v>
      </c>
      <c r="D31" s="4">
        <v>69</v>
      </c>
      <c r="E31" s="4">
        <v>65</v>
      </c>
      <c r="F31" s="4">
        <v>60</v>
      </c>
      <c r="G31" s="4"/>
    </row>
    <row r="32" spans="1:9" x14ac:dyDescent="0.45">
      <c r="A32" s="4" t="s">
        <v>345</v>
      </c>
      <c r="B32" s="4">
        <v>77</v>
      </c>
      <c r="C32" s="4">
        <v>82</v>
      </c>
      <c r="D32" s="4">
        <v>71</v>
      </c>
      <c r="E32" s="4">
        <v>80</v>
      </c>
      <c r="F32" s="4">
        <v>75</v>
      </c>
      <c r="G32" s="4"/>
    </row>
    <row r="33" spans="1:7" x14ac:dyDescent="0.45">
      <c r="A33" s="4" t="s">
        <v>346</v>
      </c>
      <c r="B33" s="4">
        <v>82</v>
      </c>
      <c r="C33" s="4">
        <v>84</v>
      </c>
      <c r="D33" s="4">
        <v>86</v>
      </c>
      <c r="E33" s="4">
        <v>90</v>
      </c>
      <c r="F33" s="4">
        <v>84</v>
      </c>
      <c r="G33" s="4"/>
    </row>
    <row r="34" spans="1:7" x14ac:dyDescent="0.45">
      <c r="A34" s="4" t="s">
        <v>347</v>
      </c>
      <c r="B34" s="4">
        <v>93</v>
      </c>
      <c r="C34" s="4">
        <v>91</v>
      </c>
      <c r="D34" s="4">
        <v>95</v>
      </c>
      <c r="E34" s="4">
        <v>93</v>
      </c>
      <c r="F34" s="4">
        <v>95</v>
      </c>
      <c r="G34" s="4"/>
    </row>
  </sheetData>
  <mergeCells count="1">
    <mergeCell ref="A11:C1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39CF1-B2E7-4A56-B911-55A1CFD179DF}">
  <dimension ref="A1:I35"/>
  <sheetViews>
    <sheetView workbookViewId="0"/>
  </sheetViews>
  <sheetFormatPr defaultRowHeight="17" x14ac:dyDescent="0.45"/>
  <cols>
    <col min="3" max="4" width="9.08203125" bestFit="1" customWidth="1"/>
    <col min="5" max="5" width="10.83203125" bestFit="1" customWidth="1"/>
    <col min="8" max="8" width="10.58203125" bestFit="1" customWidth="1"/>
  </cols>
  <sheetData>
    <row r="1" spans="1:9" x14ac:dyDescent="0.45">
      <c r="A1" s="1" t="s">
        <v>0</v>
      </c>
      <c r="B1" s="2" t="s">
        <v>348</v>
      </c>
      <c r="F1" s="13" t="s">
        <v>2</v>
      </c>
      <c r="G1" s="2" t="s">
        <v>131</v>
      </c>
    </row>
    <row r="2" spans="1:9" x14ac:dyDescent="0.45">
      <c r="A2" s="4" t="s">
        <v>4</v>
      </c>
      <c r="B2" s="4" t="s">
        <v>349</v>
      </c>
      <c r="C2" s="4" t="s">
        <v>350</v>
      </c>
      <c r="D2" s="4" t="s">
        <v>5</v>
      </c>
      <c r="F2" s="4" t="s">
        <v>132</v>
      </c>
      <c r="G2" s="4" t="s">
        <v>351</v>
      </c>
      <c r="H2" s="4" t="s">
        <v>44</v>
      </c>
      <c r="I2" s="5" t="s">
        <v>43</v>
      </c>
    </row>
    <row r="3" spans="1:9" x14ac:dyDescent="0.45">
      <c r="A3" s="4" t="s">
        <v>74</v>
      </c>
      <c r="B3" s="4" t="s">
        <v>63</v>
      </c>
      <c r="C3" s="4">
        <v>645</v>
      </c>
      <c r="D3" s="4" t="s">
        <v>55</v>
      </c>
      <c r="F3" s="4" t="s">
        <v>352</v>
      </c>
      <c r="G3" s="4">
        <v>94</v>
      </c>
      <c r="H3" s="6">
        <v>1382000</v>
      </c>
      <c r="I3" s="4"/>
    </row>
    <row r="4" spans="1:9" x14ac:dyDescent="0.45">
      <c r="A4" s="4" t="s">
        <v>73</v>
      </c>
      <c r="B4" s="4" t="s">
        <v>63</v>
      </c>
      <c r="C4" s="4">
        <v>574</v>
      </c>
      <c r="D4" s="4" t="s">
        <v>353</v>
      </c>
      <c r="F4" s="4" t="s">
        <v>354</v>
      </c>
      <c r="G4" s="4">
        <v>156</v>
      </c>
      <c r="H4" s="6">
        <v>1794000</v>
      </c>
      <c r="I4" s="4"/>
    </row>
    <row r="5" spans="1:9" x14ac:dyDescent="0.45">
      <c r="A5" s="4" t="s">
        <v>75</v>
      </c>
      <c r="B5" s="4" t="s">
        <v>63</v>
      </c>
      <c r="C5" s="4">
        <v>429</v>
      </c>
      <c r="D5" s="4" t="s">
        <v>355</v>
      </c>
      <c r="F5" s="4" t="s">
        <v>356</v>
      </c>
      <c r="G5" s="4">
        <v>83</v>
      </c>
      <c r="H5" s="6">
        <v>1652000</v>
      </c>
      <c r="I5" s="4"/>
    </row>
    <row r="6" spans="1:9" x14ac:dyDescent="0.45">
      <c r="A6" s="4" t="s">
        <v>74</v>
      </c>
      <c r="B6" s="4" t="s">
        <v>64</v>
      </c>
      <c r="C6" s="4">
        <v>721</v>
      </c>
      <c r="D6" s="4" t="s">
        <v>71</v>
      </c>
      <c r="F6" s="4" t="s">
        <v>357</v>
      </c>
      <c r="G6" s="4">
        <v>248</v>
      </c>
      <c r="H6" s="6">
        <v>4950000</v>
      </c>
      <c r="I6" s="4"/>
    </row>
    <row r="7" spans="1:9" x14ac:dyDescent="0.45">
      <c r="A7" s="4" t="s">
        <v>73</v>
      </c>
      <c r="B7" s="4" t="s">
        <v>64</v>
      </c>
      <c r="C7" s="4">
        <v>827</v>
      </c>
      <c r="D7" s="4" t="s">
        <v>358</v>
      </c>
      <c r="F7" s="4" t="s">
        <v>359</v>
      </c>
      <c r="G7" s="4">
        <v>77</v>
      </c>
      <c r="H7" s="6">
        <v>1223000</v>
      </c>
      <c r="I7" s="4"/>
    </row>
    <row r="8" spans="1:9" x14ac:dyDescent="0.45">
      <c r="A8" s="4" t="s">
        <v>75</v>
      </c>
      <c r="B8" s="4" t="s">
        <v>64</v>
      </c>
      <c r="C8" s="4">
        <v>704</v>
      </c>
      <c r="D8" s="4" t="s">
        <v>360</v>
      </c>
      <c r="F8" s="4" t="s">
        <v>361</v>
      </c>
      <c r="G8" s="4">
        <v>64</v>
      </c>
      <c r="H8" s="6">
        <v>978000</v>
      </c>
      <c r="I8" s="4"/>
    </row>
    <row r="9" spans="1:9" x14ac:dyDescent="0.45">
      <c r="A9" s="4" t="s">
        <v>74</v>
      </c>
      <c r="B9" s="4" t="s">
        <v>62</v>
      </c>
      <c r="C9" s="4">
        <v>628</v>
      </c>
      <c r="D9" s="4" t="s">
        <v>362</v>
      </c>
      <c r="F9" s="4" t="s">
        <v>363</v>
      </c>
      <c r="G9" s="4">
        <v>85</v>
      </c>
      <c r="H9" s="6">
        <v>2460000</v>
      </c>
      <c r="I9" s="4"/>
    </row>
    <row r="10" spans="1:9" x14ac:dyDescent="0.45">
      <c r="A10" s="4" t="s">
        <v>73</v>
      </c>
      <c r="B10" s="4" t="s">
        <v>62</v>
      </c>
      <c r="C10" s="4">
        <v>699</v>
      </c>
      <c r="D10" s="4" t="s">
        <v>364</v>
      </c>
      <c r="F10" s="4" t="s">
        <v>365</v>
      </c>
      <c r="G10" s="4">
        <v>173</v>
      </c>
      <c r="H10" s="6">
        <v>2961000</v>
      </c>
      <c r="I10" s="4"/>
    </row>
    <row r="11" spans="1:9" x14ac:dyDescent="0.45">
      <c r="A11" s="4" t="s">
        <v>75</v>
      </c>
      <c r="B11" s="4" t="s">
        <v>62</v>
      </c>
      <c r="C11" s="4">
        <v>763</v>
      </c>
      <c r="D11" s="4" t="s">
        <v>366</v>
      </c>
      <c r="F11" s="4" t="s">
        <v>367</v>
      </c>
      <c r="G11" s="4">
        <v>59</v>
      </c>
      <c r="H11" s="6">
        <v>889000</v>
      </c>
      <c r="I11" s="4"/>
    </row>
    <row r="12" spans="1:9" x14ac:dyDescent="0.45">
      <c r="A12" s="33" t="s">
        <v>368</v>
      </c>
      <c r="B12" s="35"/>
      <c r="C12" s="34"/>
      <c r="D12" s="4"/>
      <c r="F12" s="4" t="s">
        <v>369</v>
      </c>
      <c r="G12" s="4">
        <v>67</v>
      </c>
      <c r="H12" s="6">
        <v>1067000</v>
      </c>
      <c r="I12" s="4"/>
    </row>
    <row r="14" spans="1:9" x14ac:dyDescent="0.45">
      <c r="A14" s="13" t="s">
        <v>26</v>
      </c>
      <c r="B14" s="2" t="s">
        <v>370</v>
      </c>
      <c r="F14" s="13" t="s">
        <v>25</v>
      </c>
      <c r="G14" s="2" t="s">
        <v>371</v>
      </c>
    </row>
    <row r="15" spans="1:9" x14ac:dyDescent="0.45">
      <c r="A15" s="4" t="s">
        <v>188</v>
      </c>
      <c r="B15" s="4" t="s">
        <v>61</v>
      </c>
      <c r="C15" s="4" t="s">
        <v>372</v>
      </c>
      <c r="D15" s="4" t="s">
        <v>59</v>
      </c>
      <c r="F15" s="4" t="s">
        <v>70</v>
      </c>
      <c r="G15" s="4" t="s">
        <v>59</v>
      </c>
      <c r="H15" s="5" t="s">
        <v>52</v>
      </c>
    </row>
    <row r="16" spans="1:9" x14ac:dyDescent="0.45">
      <c r="A16" s="4">
        <v>211016</v>
      </c>
      <c r="B16" s="4" t="s">
        <v>289</v>
      </c>
      <c r="C16" s="4" t="s">
        <v>373</v>
      </c>
      <c r="D16" s="4">
        <v>86</v>
      </c>
      <c r="F16" s="4" t="s">
        <v>374</v>
      </c>
      <c r="G16" s="4">
        <v>91</v>
      </c>
      <c r="H16" s="4"/>
    </row>
    <row r="17" spans="1:8" x14ac:dyDescent="0.45">
      <c r="A17" s="4">
        <v>215007</v>
      </c>
      <c r="B17" s="4" t="s">
        <v>375</v>
      </c>
      <c r="C17" s="4" t="s">
        <v>376</v>
      </c>
      <c r="D17" s="4">
        <v>94</v>
      </c>
      <c r="F17" s="4" t="s">
        <v>377</v>
      </c>
      <c r="G17" s="4">
        <v>95</v>
      </c>
      <c r="H17" s="4"/>
    </row>
    <row r="18" spans="1:8" x14ac:dyDescent="0.45">
      <c r="A18" s="4">
        <v>215015</v>
      </c>
      <c r="B18" s="4" t="s">
        <v>375</v>
      </c>
      <c r="C18" s="4" t="s">
        <v>378</v>
      </c>
      <c r="D18" s="4">
        <v>75</v>
      </c>
      <c r="F18" s="4" t="s">
        <v>379</v>
      </c>
      <c r="G18" s="4">
        <v>86</v>
      </c>
      <c r="H18" s="4"/>
    </row>
    <row r="19" spans="1:8" x14ac:dyDescent="0.45">
      <c r="A19" s="4">
        <v>211025</v>
      </c>
      <c r="B19" s="4" t="s">
        <v>289</v>
      </c>
      <c r="C19" s="4" t="s">
        <v>380</v>
      </c>
      <c r="D19" s="4">
        <v>81</v>
      </c>
      <c r="F19" s="4" t="s">
        <v>381</v>
      </c>
      <c r="G19" s="4">
        <v>86</v>
      </c>
      <c r="H19" s="4"/>
    </row>
    <row r="20" spans="1:8" x14ac:dyDescent="0.45">
      <c r="A20" s="4">
        <v>211031</v>
      </c>
      <c r="B20" s="4" t="s">
        <v>289</v>
      </c>
      <c r="C20" s="4" t="s">
        <v>382</v>
      </c>
      <c r="D20" s="4">
        <v>96</v>
      </c>
      <c r="F20" s="4" t="s">
        <v>383</v>
      </c>
      <c r="G20" s="4">
        <v>98</v>
      </c>
      <c r="H20" s="4"/>
    </row>
    <row r="21" spans="1:8" x14ac:dyDescent="0.45">
      <c r="A21" s="4">
        <v>215064</v>
      </c>
      <c r="B21" s="4" t="s">
        <v>375</v>
      </c>
      <c r="C21" s="4" t="s">
        <v>384</v>
      </c>
      <c r="D21" s="4">
        <v>88</v>
      </c>
      <c r="F21" s="4" t="s">
        <v>385</v>
      </c>
      <c r="G21" s="4">
        <v>90</v>
      </c>
      <c r="H21" s="4"/>
    </row>
    <row r="22" spans="1:8" x14ac:dyDescent="0.45">
      <c r="A22" s="4">
        <v>211046</v>
      </c>
      <c r="B22" s="4" t="s">
        <v>289</v>
      </c>
      <c r="C22" s="4" t="s">
        <v>386</v>
      </c>
      <c r="D22" s="4">
        <v>79</v>
      </c>
      <c r="F22" s="4" t="s">
        <v>387</v>
      </c>
      <c r="G22" s="4">
        <v>86</v>
      </c>
      <c r="H22" s="4"/>
    </row>
    <row r="23" spans="1:8" x14ac:dyDescent="0.45">
      <c r="A23" s="4">
        <v>215089</v>
      </c>
      <c r="B23" s="4" t="s">
        <v>375</v>
      </c>
      <c r="C23" s="4" t="s">
        <v>388</v>
      </c>
      <c r="D23" s="4">
        <v>67</v>
      </c>
      <c r="F23" s="4" t="s">
        <v>389</v>
      </c>
      <c r="G23" s="4">
        <v>94</v>
      </c>
      <c r="H23" s="4"/>
    </row>
    <row r="24" spans="1:8" x14ac:dyDescent="0.45">
      <c r="A24" s="33" t="s">
        <v>390</v>
      </c>
      <c r="B24" s="35"/>
      <c r="C24" s="34"/>
      <c r="D24" s="4"/>
      <c r="F24" s="4" t="s">
        <v>391</v>
      </c>
      <c r="G24" s="4">
        <v>88</v>
      </c>
      <c r="H24" s="4"/>
    </row>
    <row r="26" spans="1:8" x14ac:dyDescent="0.45">
      <c r="A26" s="13" t="s">
        <v>17</v>
      </c>
      <c r="B26" s="2" t="s">
        <v>392</v>
      </c>
    </row>
    <row r="27" spans="1:8" x14ac:dyDescent="0.45">
      <c r="A27" s="4" t="s">
        <v>393</v>
      </c>
      <c r="B27" s="4" t="s">
        <v>50</v>
      </c>
      <c r="C27" s="4" t="s">
        <v>72</v>
      </c>
      <c r="D27" s="4" t="s">
        <v>15</v>
      </c>
      <c r="E27" s="4" t="s">
        <v>111</v>
      </c>
    </row>
    <row r="28" spans="1:8" x14ac:dyDescent="0.45">
      <c r="A28" s="4" t="s">
        <v>394</v>
      </c>
      <c r="B28" s="4" t="s">
        <v>395</v>
      </c>
      <c r="C28" s="6">
        <v>3900</v>
      </c>
      <c r="D28" s="6">
        <v>116</v>
      </c>
      <c r="E28" s="6">
        <v>452400</v>
      </c>
    </row>
    <row r="29" spans="1:8" x14ac:dyDescent="0.45">
      <c r="A29" s="4" t="s">
        <v>396</v>
      </c>
      <c r="B29" s="4" t="s">
        <v>263</v>
      </c>
      <c r="C29" s="6">
        <v>4600</v>
      </c>
      <c r="D29" s="6">
        <v>128</v>
      </c>
      <c r="E29" s="6">
        <v>588800</v>
      </c>
    </row>
    <row r="30" spans="1:8" x14ac:dyDescent="0.45">
      <c r="A30" s="4" t="s">
        <v>396</v>
      </c>
      <c r="B30" s="4" t="s">
        <v>267</v>
      </c>
      <c r="C30" s="6">
        <v>9800</v>
      </c>
      <c r="D30" s="6">
        <v>88</v>
      </c>
      <c r="E30" s="6">
        <v>862400</v>
      </c>
    </row>
    <row r="31" spans="1:8" x14ac:dyDescent="0.45">
      <c r="A31" s="4" t="s">
        <v>397</v>
      </c>
      <c r="B31" s="4" t="s">
        <v>398</v>
      </c>
      <c r="C31" s="6">
        <v>6700</v>
      </c>
      <c r="D31" s="6">
        <v>123</v>
      </c>
      <c r="E31" s="6">
        <v>824100</v>
      </c>
    </row>
    <row r="32" spans="1:8" x14ac:dyDescent="0.45">
      <c r="A32" s="4" t="s">
        <v>396</v>
      </c>
      <c r="B32" s="4" t="s">
        <v>259</v>
      </c>
      <c r="C32" s="6">
        <v>8800</v>
      </c>
      <c r="D32" s="6">
        <v>94</v>
      </c>
      <c r="E32" s="6">
        <v>827200</v>
      </c>
    </row>
    <row r="33" spans="1:6" x14ac:dyDescent="0.45">
      <c r="A33" s="4" t="s">
        <v>397</v>
      </c>
      <c r="B33" s="4" t="s">
        <v>399</v>
      </c>
      <c r="C33" s="6">
        <v>9500</v>
      </c>
      <c r="D33" s="6">
        <v>157</v>
      </c>
      <c r="E33" s="6">
        <v>1491500</v>
      </c>
      <c r="F33" s="9" t="s">
        <v>400</v>
      </c>
    </row>
    <row r="34" spans="1:6" x14ac:dyDescent="0.45">
      <c r="A34" s="4" t="s">
        <v>394</v>
      </c>
      <c r="B34" s="4" t="s">
        <v>401</v>
      </c>
      <c r="C34" s="6">
        <v>4500</v>
      </c>
      <c r="D34" s="6">
        <v>167</v>
      </c>
      <c r="E34" s="6">
        <v>751500</v>
      </c>
      <c r="F34" s="4"/>
    </row>
    <row r="35" spans="1:6" x14ac:dyDescent="0.45">
      <c r="A35" s="33" t="s">
        <v>402</v>
      </c>
      <c r="B35" s="35"/>
      <c r="C35" s="35"/>
      <c r="D35" s="34"/>
      <c r="E35" s="6"/>
      <c r="F35" s="4"/>
    </row>
  </sheetData>
  <mergeCells count="3">
    <mergeCell ref="A12:C12"/>
    <mergeCell ref="A24:C24"/>
    <mergeCell ref="A35:D35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1318A-97FA-46C7-B1C4-20B3485902FD}">
  <dimension ref="A1:J34"/>
  <sheetViews>
    <sheetView workbookViewId="0"/>
  </sheetViews>
  <sheetFormatPr defaultRowHeight="17" x14ac:dyDescent="0.45"/>
  <cols>
    <col min="4" max="4" width="10.08203125" bestFit="1" customWidth="1"/>
    <col min="8" max="10" width="9.08203125" bestFit="1" customWidth="1"/>
  </cols>
  <sheetData>
    <row r="1" spans="1:10" x14ac:dyDescent="0.45">
      <c r="A1" s="1" t="s">
        <v>0</v>
      </c>
      <c r="B1" s="2" t="s">
        <v>403</v>
      </c>
      <c r="F1" s="13" t="s">
        <v>2</v>
      </c>
      <c r="G1" s="2" t="s">
        <v>404</v>
      </c>
    </row>
    <row r="2" spans="1:10" x14ac:dyDescent="0.45">
      <c r="A2" s="4" t="s">
        <v>56</v>
      </c>
      <c r="B2" s="4" t="s">
        <v>28</v>
      </c>
      <c r="C2" s="4" t="s">
        <v>405</v>
      </c>
      <c r="D2" s="4" t="s">
        <v>406</v>
      </c>
      <c r="F2" s="4" t="s">
        <v>407</v>
      </c>
      <c r="G2" s="4" t="s">
        <v>408</v>
      </c>
      <c r="H2" s="4" t="s">
        <v>409</v>
      </c>
      <c r="I2" s="4" t="s">
        <v>410</v>
      </c>
      <c r="J2" s="4" t="s">
        <v>42</v>
      </c>
    </row>
    <row r="3" spans="1:10" x14ac:dyDescent="0.45">
      <c r="A3" s="4" t="s">
        <v>411</v>
      </c>
      <c r="B3" s="4" t="s">
        <v>412</v>
      </c>
      <c r="C3" s="4" t="s">
        <v>57</v>
      </c>
      <c r="D3" s="4">
        <v>86</v>
      </c>
      <c r="F3" s="4" t="s">
        <v>413</v>
      </c>
      <c r="G3" s="4" t="s">
        <v>414</v>
      </c>
      <c r="H3" s="6">
        <v>63545</v>
      </c>
      <c r="I3" s="6">
        <v>70535</v>
      </c>
      <c r="J3" s="6">
        <v>134080</v>
      </c>
    </row>
    <row r="4" spans="1:10" x14ac:dyDescent="0.45">
      <c r="A4" s="4" t="s">
        <v>415</v>
      </c>
      <c r="B4" s="4" t="s">
        <v>416</v>
      </c>
      <c r="C4" s="4" t="s">
        <v>54</v>
      </c>
      <c r="D4" s="4">
        <v>91</v>
      </c>
      <c r="F4" s="4" t="s">
        <v>417</v>
      </c>
      <c r="G4" s="4" t="s">
        <v>418</v>
      </c>
      <c r="H4" s="6">
        <v>41981</v>
      </c>
      <c r="I4" s="6">
        <v>40396</v>
      </c>
      <c r="J4" s="6">
        <v>82377</v>
      </c>
    </row>
    <row r="5" spans="1:10" x14ac:dyDescent="0.45">
      <c r="A5" s="4" t="s">
        <v>419</v>
      </c>
      <c r="B5" s="4" t="s">
        <v>420</v>
      </c>
      <c r="C5" s="4" t="s">
        <v>36</v>
      </c>
      <c r="D5" s="4">
        <v>75</v>
      </c>
      <c r="F5" s="4" t="s">
        <v>421</v>
      </c>
      <c r="G5" s="4" t="s">
        <v>422</v>
      </c>
      <c r="H5" s="6">
        <v>38517</v>
      </c>
      <c r="I5" s="6">
        <v>36206</v>
      </c>
      <c r="J5" s="6">
        <v>74723</v>
      </c>
    </row>
    <row r="6" spans="1:10" x14ac:dyDescent="0.45">
      <c r="A6" s="4" t="s">
        <v>423</v>
      </c>
      <c r="B6" s="4" t="s">
        <v>424</v>
      </c>
      <c r="C6" s="4" t="s">
        <v>57</v>
      </c>
      <c r="D6" s="4">
        <v>69</v>
      </c>
      <c r="F6" s="4" t="s">
        <v>425</v>
      </c>
      <c r="G6" s="4" t="s">
        <v>414</v>
      </c>
      <c r="H6" s="6">
        <v>57134</v>
      </c>
      <c r="I6" s="6">
        <v>53706</v>
      </c>
      <c r="J6" s="6">
        <v>110840</v>
      </c>
    </row>
    <row r="7" spans="1:10" x14ac:dyDescent="0.45">
      <c r="A7" s="4" t="s">
        <v>426</v>
      </c>
      <c r="B7" s="4" t="s">
        <v>427</v>
      </c>
      <c r="C7" s="4" t="s">
        <v>58</v>
      </c>
      <c r="D7" s="4">
        <v>95</v>
      </c>
      <c r="F7" s="4" t="s">
        <v>428</v>
      </c>
      <c r="G7" s="4" t="s">
        <v>418</v>
      </c>
      <c r="H7" s="6">
        <v>67012</v>
      </c>
      <c r="I7" s="6">
        <v>74383</v>
      </c>
      <c r="J7" s="6">
        <v>141395</v>
      </c>
    </row>
    <row r="8" spans="1:10" x14ac:dyDescent="0.45">
      <c r="A8" s="4" t="s">
        <v>429</v>
      </c>
      <c r="B8" s="4" t="s">
        <v>430</v>
      </c>
      <c r="C8" s="4" t="s">
        <v>36</v>
      </c>
      <c r="D8" s="4">
        <v>82</v>
      </c>
      <c r="F8" s="4" t="s">
        <v>431</v>
      </c>
      <c r="G8" s="4" t="s">
        <v>422</v>
      </c>
      <c r="H8" s="6">
        <v>50679</v>
      </c>
      <c r="I8" s="6">
        <v>47638</v>
      </c>
      <c r="J8" s="6">
        <v>98317</v>
      </c>
    </row>
    <row r="9" spans="1:10" x14ac:dyDescent="0.45">
      <c r="A9" s="4" t="s">
        <v>432</v>
      </c>
      <c r="B9" s="4" t="s">
        <v>433</v>
      </c>
      <c r="C9" s="4" t="s">
        <v>54</v>
      </c>
      <c r="D9" s="4">
        <v>79</v>
      </c>
      <c r="F9" s="4" t="s">
        <v>434</v>
      </c>
      <c r="G9" s="4" t="s">
        <v>414</v>
      </c>
      <c r="H9" s="6">
        <v>49660</v>
      </c>
      <c r="I9" s="6">
        <v>53170</v>
      </c>
      <c r="J9" s="6">
        <v>102830</v>
      </c>
    </row>
    <row r="10" spans="1:10" x14ac:dyDescent="0.45">
      <c r="A10" s="33" t="s">
        <v>435</v>
      </c>
      <c r="B10" s="35"/>
      <c r="C10" s="34"/>
      <c r="D10" s="4"/>
      <c r="F10" s="4" t="s">
        <v>436</v>
      </c>
      <c r="G10" s="4" t="s">
        <v>418</v>
      </c>
      <c r="H10" s="6">
        <v>62248</v>
      </c>
      <c r="I10" s="6">
        <v>69095</v>
      </c>
      <c r="J10" s="6">
        <v>131343</v>
      </c>
    </row>
    <row r="12" spans="1:10" x14ac:dyDescent="0.45">
      <c r="A12" s="13" t="s">
        <v>26</v>
      </c>
      <c r="B12" s="2" t="s">
        <v>437</v>
      </c>
      <c r="D12" s="3" t="s">
        <v>438</v>
      </c>
      <c r="G12" s="4"/>
      <c r="H12" s="33" t="s">
        <v>439</v>
      </c>
      <c r="I12" s="35"/>
      <c r="J12" s="34"/>
    </row>
    <row r="13" spans="1:10" x14ac:dyDescent="0.45">
      <c r="A13" s="4" t="s">
        <v>440</v>
      </c>
      <c r="B13" s="4" t="s">
        <v>27</v>
      </c>
      <c r="C13" s="4" t="s">
        <v>441</v>
      </c>
      <c r="D13" s="5" t="s">
        <v>442</v>
      </c>
      <c r="G13" s="4"/>
      <c r="H13" s="48"/>
      <c r="I13" s="49"/>
      <c r="J13" s="50"/>
    </row>
    <row r="14" spans="1:10" x14ac:dyDescent="0.45">
      <c r="A14" s="4" t="s">
        <v>443</v>
      </c>
      <c r="B14" s="4" t="s">
        <v>444</v>
      </c>
      <c r="C14" s="6">
        <v>3500</v>
      </c>
      <c r="D14" s="6"/>
    </row>
    <row r="15" spans="1:10" x14ac:dyDescent="0.45">
      <c r="A15" s="4" t="s">
        <v>445</v>
      </c>
      <c r="B15" s="4" t="s">
        <v>446</v>
      </c>
      <c r="C15" s="6">
        <v>18150</v>
      </c>
      <c r="D15" s="6"/>
    </row>
    <row r="16" spans="1:10" x14ac:dyDescent="0.45">
      <c r="A16" s="4" t="s">
        <v>447</v>
      </c>
      <c r="B16" s="4" t="s">
        <v>448</v>
      </c>
      <c r="C16" s="6">
        <v>475</v>
      </c>
      <c r="D16" s="6"/>
    </row>
    <row r="17" spans="1:9" x14ac:dyDescent="0.45">
      <c r="A17" s="4" t="s">
        <v>449</v>
      </c>
      <c r="B17" s="4" t="s">
        <v>450</v>
      </c>
      <c r="C17" s="6">
        <v>6834</v>
      </c>
      <c r="D17" s="6"/>
      <c r="F17" s="13" t="s">
        <v>25</v>
      </c>
      <c r="G17" s="2" t="s">
        <v>451</v>
      </c>
    </row>
    <row r="18" spans="1:9" x14ac:dyDescent="0.45">
      <c r="A18" s="4" t="s">
        <v>452</v>
      </c>
      <c r="B18" s="4" t="s">
        <v>453</v>
      </c>
      <c r="C18" s="6">
        <v>1622</v>
      </c>
      <c r="D18" s="6"/>
      <c r="F18" s="4" t="s">
        <v>56</v>
      </c>
      <c r="G18" s="4" t="s">
        <v>454</v>
      </c>
      <c r="H18" s="4" t="s">
        <v>48</v>
      </c>
      <c r="I18" s="5" t="s">
        <v>455</v>
      </c>
    </row>
    <row r="19" spans="1:9" x14ac:dyDescent="0.45">
      <c r="F19" s="4">
        <v>324001</v>
      </c>
      <c r="G19" s="4" t="s">
        <v>456</v>
      </c>
      <c r="H19" s="4">
        <v>215</v>
      </c>
      <c r="I19" s="4"/>
    </row>
    <row r="20" spans="1:9" x14ac:dyDescent="0.45">
      <c r="A20" s="31" t="s">
        <v>457</v>
      </c>
      <c r="B20" s="31"/>
      <c r="F20" s="4">
        <v>324002</v>
      </c>
      <c r="G20" s="4" t="s">
        <v>458</v>
      </c>
      <c r="H20" s="4">
        <v>220</v>
      </c>
      <c r="I20" s="4"/>
    </row>
    <row r="21" spans="1:9" x14ac:dyDescent="0.45">
      <c r="A21" s="4" t="s">
        <v>440</v>
      </c>
      <c r="B21" s="4" t="s">
        <v>459</v>
      </c>
      <c r="F21" s="4">
        <v>324003</v>
      </c>
      <c r="G21" s="4" t="s">
        <v>460</v>
      </c>
      <c r="H21" s="4">
        <v>214</v>
      </c>
      <c r="I21" s="4"/>
    </row>
    <row r="22" spans="1:9" x14ac:dyDescent="0.45">
      <c r="A22" s="4" t="s">
        <v>447</v>
      </c>
      <c r="B22" s="15">
        <v>1.4999999999999999E-2</v>
      </c>
      <c r="F22" s="4">
        <v>324004</v>
      </c>
      <c r="G22" s="4" t="s">
        <v>461</v>
      </c>
      <c r="H22" s="4">
        <v>225</v>
      </c>
      <c r="I22" s="4"/>
    </row>
    <row r="23" spans="1:9" x14ac:dyDescent="0.45">
      <c r="A23" s="4" t="s">
        <v>443</v>
      </c>
      <c r="B23" s="15">
        <v>2.5000000000000001E-2</v>
      </c>
      <c r="F23" s="4">
        <v>324005</v>
      </c>
      <c r="G23" s="4" t="s">
        <v>462</v>
      </c>
      <c r="H23" s="4">
        <v>210</v>
      </c>
      <c r="I23" s="4"/>
    </row>
    <row r="24" spans="1:9" x14ac:dyDescent="0.45">
      <c r="A24" s="4" t="s">
        <v>445</v>
      </c>
      <c r="B24" s="11">
        <v>0.03</v>
      </c>
      <c r="F24" s="4">
        <v>324006</v>
      </c>
      <c r="G24" s="4" t="s">
        <v>80</v>
      </c>
      <c r="H24" s="4">
        <v>218</v>
      </c>
      <c r="I24" s="4"/>
    </row>
    <row r="25" spans="1:9" x14ac:dyDescent="0.45">
      <c r="A25" s="4" t="s">
        <v>452</v>
      </c>
      <c r="B25" s="15">
        <v>1.2500000000000001E-2</v>
      </c>
      <c r="F25" s="4">
        <v>324007</v>
      </c>
      <c r="G25" s="4" t="s">
        <v>463</v>
      </c>
      <c r="H25" s="4">
        <v>224</v>
      </c>
      <c r="I25" s="4"/>
    </row>
    <row r="26" spans="1:9" x14ac:dyDescent="0.45">
      <c r="A26" s="4" t="s">
        <v>449</v>
      </c>
      <c r="B26" s="15">
        <v>2.2499999999999999E-2</v>
      </c>
      <c r="F26" s="4">
        <v>324008</v>
      </c>
      <c r="G26" s="4" t="s">
        <v>464</v>
      </c>
      <c r="H26" s="4">
        <v>217</v>
      </c>
      <c r="I26" s="4"/>
    </row>
    <row r="28" spans="1:9" x14ac:dyDescent="0.45">
      <c r="A28" s="13" t="s">
        <v>17</v>
      </c>
      <c r="B28" s="2" t="s">
        <v>465</v>
      </c>
    </row>
    <row r="29" spans="1:9" x14ac:dyDescent="0.45">
      <c r="A29" s="4" t="s">
        <v>466</v>
      </c>
      <c r="B29" s="4" t="s">
        <v>467</v>
      </c>
    </row>
    <row r="30" spans="1:9" x14ac:dyDescent="0.45">
      <c r="A30" s="4" t="s">
        <v>468</v>
      </c>
      <c r="B30" s="16">
        <v>1213.9100000000001</v>
      </c>
    </row>
    <row r="31" spans="1:9" x14ac:dyDescent="0.45">
      <c r="A31" s="4" t="s">
        <v>469</v>
      </c>
      <c r="B31" s="16">
        <v>915.52</v>
      </c>
    </row>
    <row r="32" spans="1:9" x14ac:dyDescent="0.45">
      <c r="A32" s="4" t="s">
        <v>470</v>
      </c>
      <c r="B32" s="16">
        <v>1591.79</v>
      </c>
    </row>
    <row r="33" spans="1:4" x14ac:dyDescent="0.45">
      <c r="A33" s="4" t="s">
        <v>471</v>
      </c>
      <c r="B33" s="16">
        <v>990.44</v>
      </c>
      <c r="D33" s="5" t="s">
        <v>467</v>
      </c>
    </row>
    <row r="34" spans="1:4" x14ac:dyDescent="0.45">
      <c r="A34" s="4" t="s">
        <v>472</v>
      </c>
      <c r="B34" s="16">
        <v>190.58</v>
      </c>
      <c r="C34" s="5" t="s">
        <v>469</v>
      </c>
      <c r="D34" s="4"/>
    </row>
  </sheetData>
  <mergeCells count="4">
    <mergeCell ref="A10:C10"/>
    <mergeCell ref="H12:J12"/>
    <mergeCell ref="H13:J13"/>
    <mergeCell ref="A20:B20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24년상시01</vt:lpstr>
      <vt:lpstr>24년상시02</vt:lpstr>
      <vt:lpstr>24년상시03</vt:lpstr>
      <vt:lpstr>24년상시04</vt:lpstr>
      <vt:lpstr>23년상시01</vt:lpstr>
      <vt:lpstr>23년상시02</vt:lpstr>
      <vt:lpstr>23년상시03</vt:lpstr>
      <vt:lpstr>23년상시04</vt:lpstr>
      <vt:lpstr>22년상시01</vt:lpstr>
      <vt:lpstr>22년상시02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김종일</cp:lastModifiedBy>
  <dcterms:created xsi:type="dcterms:W3CDTF">2023-05-11T11:13:59Z</dcterms:created>
  <dcterms:modified xsi:type="dcterms:W3CDTF">2024-10-29T23:58:52Z</dcterms:modified>
</cp:coreProperties>
</file>