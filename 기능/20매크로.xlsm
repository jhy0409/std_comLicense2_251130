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48265C4E-358A-41F5-B2A1-D992ED1AF1B3}" xr6:coauthVersionLast="47" xr6:coauthVersionMax="47" xr10:uidLastSave="{00000000-0000-0000-0000-000000000000}"/>
  <bookViews>
    <workbookView xWindow="-120" yWindow="-120" windowWidth="29040" windowHeight="15720" tabRatio="926" activeTab="5" xr2:uid="{1EA7D4BC-0E71-467A-81F4-8371BAA0CFDB}"/>
  </bookViews>
  <sheets>
    <sheet name="출제유형_01" sheetId="6" r:id="rId1"/>
    <sheet name="대표기출문제_기출1" sheetId="1" r:id="rId2"/>
    <sheet name="기출2" sheetId="3" r:id="rId3"/>
    <sheet name="기출3" sheetId="2" r:id="rId4"/>
    <sheet name="기출4" sheetId="21" r:id="rId5"/>
    <sheet name="기출5" sheetId="22" r:id="rId6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5" i="22" l="1"/>
  <c r="E6" i="22"/>
  <c r="E7" i="22"/>
  <c r="E8" i="22"/>
  <c r="E9" i="22"/>
  <c r="E4" i="22"/>
  <c r="E5" i="21"/>
  <c r="E6" i="21"/>
  <c r="E7" i="21"/>
  <c r="E8" i="21"/>
  <c r="E9" i="21"/>
  <c r="E10" i="21"/>
  <c r="E4" i="21"/>
  <c r="E5" i="2"/>
  <c r="E6" i="2"/>
  <c r="E7" i="2"/>
  <c r="E8" i="2"/>
  <c r="E9" i="2"/>
  <c r="E10" i="2"/>
  <c r="E4" i="2"/>
  <c r="E5" i="3"/>
  <c r="E6" i="3"/>
  <c r="E7" i="3"/>
  <c r="E8" i="3"/>
  <c r="E9" i="3"/>
  <c r="E10" i="3"/>
  <c r="E4" i="3"/>
  <c r="E5" i="1"/>
  <c r="E6" i="1"/>
  <c r="E7" i="1"/>
  <c r="E8" i="1"/>
  <c r="E9" i="1"/>
  <c r="E10" i="1"/>
  <c r="E4" i="1"/>
  <c r="E5" i="6"/>
  <c r="E6" i="6"/>
  <c r="E7" i="6"/>
  <c r="E8" i="6"/>
  <c r="E9" i="6"/>
  <c r="E10" i="6"/>
  <c r="E4" i="6"/>
</calcChain>
</file>

<file path=xl/sharedStrings.xml><?xml version="1.0" encoding="utf-8"?>
<sst xmlns="http://schemas.openxmlformats.org/spreadsheetml/2006/main" count="78" uniqueCount="72">
  <si>
    <t>상공대리점 매출 현황</t>
    <phoneticPr fontId="1" type="noConversion"/>
  </si>
  <si>
    <t>제품코드</t>
  </si>
  <si>
    <t>입고량</t>
  </si>
  <si>
    <t>판매가</t>
  </si>
  <si>
    <t>판매량</t>
  </si>
  <si>
    <t>판매총액</t>
  </si>
  <si>
    <t>SG-101</t>
  </si>
  <si>
    <t>SG-102</t>
  </si>
  <si>
    <t>SG-103</t>
  </si>
  <si>
    <t>SG-104</t>
  </si>
  <si>
    <t>SG-105</t>
  </si>
  <si>
    <t>SG-106</t>
  </si>
  <si>
    <t>SG-107</t>
  </si>
  <si>
    <t>급여 지급 현황</t>
    <phoneticPr fontId="1" type="noConversion"/>
  </si>
  <si>
    <t>사원명</t>
  </si>
  <si>
    <t>직위</t>
  </si>
  <si>
    <t>기본급</t>
  </si>
  <si>
    <t>수당</t>
  </si>
  <si>
    <t>지급액</t>
  </si>
  <si>
    <t>이회천</t>
  </si>
  <si>
    <t>과장</t>
  </si>
  <si>
    <t>변효정</t>
  </si>
  <si>
    <t>황태종</t>
  </si>
  <si>
    <t>대리</t>
  </si>
  <si>
    <t>김홍민</t>
  </si>
  <si>
    <t>김선애</t>
  </si>
  <si>
    <t>최주영</t>
  </si>
  <si>
    <t>사원</t>
  </si>
  <si>
    <t>유병문</t>
  </si>
  <si>
    <t>1/4분기 판매량</t>
  </si>
  <si>
    <t>대리점</t>
  </si>
  <si>
    <t>1월</t>
  </si>
  <si>
    <t>2월</t>
  </si>
  <si>
    <t>3월</t>
  </si>
  <si>
    <t>합계</t>
  </si>
  <si>
    <t>마포점</t>
  </si>
  <si>
    <t>서초점</t>
  </si>
  <si>
    <t>성북점</t>
  </si>
  <si>
    <t>금천점</t>
  </si>
  <si>
    <t>강동점</t>
  </si>
  <si>
    <t>노원점</t>
  </si>
  <si>
    <t>관악점</t>
  </si>
  <si>
    <t>중간고사 성적표</t>
    <phoneticPr fontId="1" type="noConversion"/>
  </si>
  <si>
    <t>이름</t>
  </si>
  <si>
    <t>국어</t>
  </si>
  <si>
    <t>영어</t>
  </si>
  <si>
    <t>수학</t>
  </si>
  <si>
    <t>평균</t>
  </si>
  <si>
    <t>송가연</t>
  </si>
  <si>
    <t>이태선</t>
  </si>
  <si>
    <t>신원호</t>
  </si>
  <si>
    <t>유소원</t>
  </si>
  <si>
    <t>정해인</t>
  </si>
  <si>
    <t>김보현</t>
  </si>
  <si>
    <t>정경호</t>
  </si>
  <si>
    <t>상공전자랜드 매출 현황</t>
    <phoneticPr fontId="1" type="noConversion"/>
  </si>
  <si>
    <t>제품명</t>
  </si>
  <si>
    <t>재고량</t>
  </si>
  <si>
    <t>총판매액</t>
  </si>
  <si>
    <t>TV</t>
  </si>
  <si>
    <t>냉장고</t>
  </si>
  <si>
    <t>김치냉장고</t>
  </si>
  <si>
    <t>세탁기</t>
  </si>
  <si>
    <t>의류건조기</t>
  </si>
  <si>
    <t>청소기</t>
  </si>
  <si>
    <t>전자레인지</t>
  </si>
  <si>
    <t>상공식당 월별 운영 현황</t>
    <phoneticPr fontId="1" type="noConversion"/>
  </si>
  <si>
    <t>월</t>
  </si>
  <si>
    <t>판매액</t>
  </si>
  <si>
    <t>재료비</t>
  </si>
  <si>
    <t>인건비</t>
  </si>
  <si>
    <t>순이익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</si>
</sst>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₩&quot;* #,##0_-;\-&quot;₩&quot;* #,##0_-;_-&quot;₩&quot;* &quot;-&quot;_-;_-@_-"/>
    <numFmt numFmtId="41" formatCode="_-* #,##0_-;\-* #,##0_-;_-* &quot;-&quot;_-;_-@_-"/>
    <numFmt numFmtId="176" formatCode="0.0"/>
    <numFmt numFmtId="177" formatCode="&quot;₩&quot;#,##0_);[Red]\(&quot;₩&quot;#,##0\)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4" fillId="2" borderId="0" xfId="2">
      <alignment vertical="center"/>
    </xf>
    <xf numFmtId="42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3" fillId="0" borderId="0" xfId="0" applyFont="1" applyAlignment="1">
      <alignment horizontal="center" vertical="center"/>
    </xf>
  </cellXfs>
  <cellStyles count="3">
    <cellStyle name="강조색1" xfId="2" builtinId="29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단추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지급액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14650" y="2305050"/>
          <a:ext cx="828675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0</xdr:rowOff>
    </xdr:from>
    <xdr:to>
      <xdr:col>8</xdr:col>
      <xdr:colOff>0</xdr:colOff>
      <xdr:row>9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14800" y="1257300"/>
          <a:ext cx="1371600" cy="6286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1</xdr:rowOff>
    </xdr:from>
    <xdr:to>
      <xdr:col>8</xdr:col>
      <xdr:colOff>0</xdr:colOff>
      <xdr:row>7</xdr:row>
      <xdr:rowOff>1</xdr:rowOff>
    </xdr:to>
    <xdr:sp macro="[0]!셀스타일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857625" y="1047751"/>
          <a:ext cx="1009650" cy="419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셀스타일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총판매액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11</xdr:row>
      <xdr:rowOff>0</xdr:rowOff>
    </xdr:from>
    <xdr:to>
      <xdr:col>2</xdr:col>
      <xdr:colOff>0</xdr:colOff>
      <xdr:row>13</xdr:row>
      <xdr:rowOff>0</xdr:rowOff>
    </xdr:to>
    <xdr:sp macro="[0]!회계" textlink="">
      <xdr:nvSpPr>
        <xdr:cNvPr id="2" name="육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38200" y="2305050"/>
          <a:ext cx="923925" cy="41910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회계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순이익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10</xdr:row>
      <xdr:rowOff>0</xdr:rowOff>
    </xdr:from>
    <xdr:to>
      <xdr:col>4</xdr:col>
      <xdr:colOff>0</xdr:colOff>
      <xdr:row>12</xdr:row>
      <xdr:rowOff>0</xdr:rowOff>
    </xdr:to>
    <xdr:sp macro="[0]!통화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457450" y="2095500"/>
          <a:ext cx="84772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sheetPr codeName="Sheet1"/>
  <dimension ref="A1:E10"/>
  <sheetViews>
    <sheetView workbookViewId="0">
      <selection sqref="A1:E1"/>
    </sheetView>
  </sheetViews>
  <sheetFormatPr defaultRowHeight="16.5" x14ac:dyDescent="0.3"/>
  <cols>
    <col min="5" max="5" width="11.875" bestFit="1" customWidth="1"/>
  </cols>
  <sheetData>
    <row r="1" spans="1:5" x14ac:dyDescent="0.3">
      <c r="A1" s="9" t="s">
        <v>0</v>
      </c>
      <c r="B1" s="9"/>
      <c r="C1" s="9"/>
      <c r="D1" s="9"/>
      <c r="E1" s="9"/>
    </row>
    <row r="3" spans="1:5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</row>
    <row r="4" spans="1:5" x14ac:dyDescent="0.3">
      <c r="A4" s="1" t="s">
        <v>6</v>
      </c>
      <c r="B4" s="2">
        <v>1100</v>
      </c>
      <c r="C4" s="2">
        <v>23500</v>
      </c>
      <c r="D4" s="2">
        <v>1094</v>
      </c>
      <c r="E4" s="2">
        <f>C4*D4</f>
        <v>25709000</v>
      </c>
    </row>
    <row r="5" spans="1:5" x14ac:dyDescent="0.3">
      <c r="A5" s="1" t="s">
        <v>7</v>
      </c>
      <c r="B5" s="2">
        <v>900</v>
      </c>
      <c r="C5" s="2">
        <v>18900</v>
      </c>
      <c r="D5" s="2">
        <v>937</v>
      </c>
      <c r="E5" s="2">
        <f t="shared" ref="E5:E10" si="0">C5*D5</f>
        <v>17709300</v>
      </c>
    </row>
    <row r="6" spans="1:5" x14ac:dyDescent="0.3">
      <c r="A6" s="1" t="s">
        <v>8</v>
      </c>
      <c r="B6" s="2">
        <v>900</v>
      </c>
      <c r="C6" s="2">
        <v>24600</v>
      </c>
      <c r="D6" s="2">
        <v>886</v>
      </c>
      <c r="E6" s="2">
        <f t="shared" si="0"/>
        <v>21795600</v>
      </c>
    </row>
    <row r="7" spans="1:5" x14ac:dyDescent="0.3">
      <c r="A7" s="1" t="s">
        <v>9</v>
      </c>
      <c r="B7" s="2">
        <v>1200</v>
      </c>
      <c r="C7" s="2">
        <v>15500</v>
      </c>
      <c r="D7" s="2">
        <v>1271</v>
      </c>
      <c r="E7" s="2">
        <f t="shared" si="0"/>
        <v>19700500</v>
      </c>
    </row>
    <row r="8" spans="1:5" x14ac:dyDescent="0.3">
      <c r="A8" s="1" t="s">
        <v>10</v>
      </c>
      <c r="B8" s="2">
        <v>1000</v>
      </c>
      <c r="C8" s="2">
        <v>20000</v>
      </c>
      <c r="D8" s="2">
        <v>976</v>
      </c>
      <c r="E8" s="2">
        <f t="shared" si="0"/>
        <v>19520000</v>
      </c>
    </row>
    <row r="9" spans="1:5" x14ac:dyDescent="0.3">
      <c r="A9" s="1" t="s">
        <v>11</v>
      </c>
      <c r="B9" s="2">
        <v>1100</v>
      </c>
      <c r="C9" s="2">
        <v>19400</v>
      </c>
      <c r="D9" s="2">
        <v>1138</v>
      </c>
      <c r="E9" s="2">
        <f t="shared" si="0"/>
        <v>22077200</v>
      </c>
    </row>
    <row r="10" spans="1:5" x14ac:dyDescent="0.3">
      <c r="A10" s="1" t="s">
        <v>12</v>
      </c>
      <c r="B10" s="2">
        <v>800</v>
      </c>
      <c r="C10" s="2">
        <v>17800</v>
      </c>
      <c r="D10" s="2">
        <v>854</v>
      </c>
      <c r="E10" s="2">
        <f t="shared" si="0"/>
        <v>15201200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판매총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 codeName="Sheet2">
    <tabColor theme="7" tint="0.59999389629810485"/>
  </sheetPr>
  <dimension ref="A1:E10"/>
  <sheetViews>
    <sheetView workbookViewId="0">
      <selection sqref="A1:E1"/>
    </sheetView>
  </sheetViews>
  <sheetFormatPr defaultRowHeight="16.5" x14ac:dyDescent="0.3"/>
  <cols>
    <col min="3" max="3" width="9.375" bestFit="1" customWidth="1"/>
    <col min="4" max="5" width="10.875" bestFit="1" customWidth="1"/>
  </cols>
  <sheetData>
    <row r="1" spans="1:5" x14ac:dyDescent="0.3">
      <c r="A1" s="9" t="s">
        <v>13</v>
      </c>
      <c r="B1" s="9"/>
      <c r="C1" s="9"/>
      <c r="D1" s="9"/>
      <c r="E1" s="9"/>
    </row>
    <row r="3" spans="1:5" x14ac:dyDescent="0.3">
      <c r="A3" s="4" t="s">
        <v>14</v>
      </c>
      <c r="B3" s="4" t="s">
        <v>15</v>
      </c>
      <c r="C3" s="4" t="s">
        <v>16</v>
      </c>
      <c r="D3" s="4" t="s">
        <v>17</v>
      </c>
      <c r="E3" s="4" t="s">
        <v>18</v>
      </c>
    </row>
    <row r="4" spans="1:5" x14ac:dyDescent="0.3">
      <c r="A4" s="1" t="s">
        <v>19</v>
      </c>
      <c r="B4" s="1" t="s">
        <v>20</v>
      </c>
      <c r="C4" s="2">
        <v>320000</v>
      </c>
      <c r="D4" s="2">
        <v>1350000</v>
      </c>
      <c r="E4" s="2">
        <f>C4+D4</f>
        <v>1670000</v>
      </c>
    </row>
    <row r="5" spans="1:5" x14ac:dyDescent="0.3">
      <c r="A5" s="1" t="s">
        <v>21</v>
      </c>
      <c r="B5" s="1" t="s">
        <v>20</v>
      </c>
      <c r="C5" s="2">
        <v>315000</v>
      </c>
      <c r="D5" s="2">
        <v>1300000</v>
      </c>
      <c r="E5" s="2">
        <f t="shared" ref="E5:E10" si="0">C5+D5</f>
        <v>1615000</v>
      </c>
    </row>
    <row r="6" spans="1:5" x14ac:dyDescent="0.3">
      <c r="A6" s="1" t="s">
        <v>22</v>
      </c>
      <c r="B6" s="1" t="s">
        <v>23</v>
      </c>
      <c r="C6" s="2">
        <v>280000</v>
      </c>
      <c r="D6" s="2">
        <v>1200000</v>
      </c>
      <c r="E6" s="2">
        <f t="shared" si="0"/>
        <v>1480000</v>
      </c>
    </row>
    <row r="7" spans="1:5" x14ac:dyDescent="0.3">
      <c r="A7" s="1" t="s">
        <v>24</v>
      </c>
      <c r="B7" s="1" t="s">
        <v>23</v>
      </c>
      <c r="C7" s="2">
        <v>275000</v>
      </c>
      <c r="D7" s="2">
        <v>1200000</v>
      </c>
      <c r="E7" s="2">
        <f t="shared" si="0"/>
        <v>1475000</v>
      </c>
    </row>
    <row r="8" spans="1:5" x14ac:dyDescent="0.3">
      <c r="A8" s="1" t="s">
        <v>25</v>
      </c>
      <c r="B8" s="1" t="s">
        <v>23</v>
      </c>
      <c r="C8" s="2">
        <v>270000</v>
      </c>
      <c r="D8" s="2">
        <v>1100000</v>
      </c>
      <c r="E8" s="2">
        <f t="shared" si="0"/>
        <v>1370000</v>
      </c>
    </row>
    <row r="9" spans="1:5" x14ac:dyDescent="0.3">
      <c r="A9" s="1" t="s">
        <v>26</v>
      </c>
      <c r="B9" s="1" t="s">
        <v>27</v>
      </c>
      <c r="C9" s="2">
        <v>240000</v>
      </c>
      <c r="D9" s="2">
        <v>950000</v>
      </c>
      <c r="E9" s="2">
        <f t="shared" si="0"/>
        <v>1190000</v>
      </c>
    </row>
    <row r="10" spans="1:5" x14ac:dyDescent="0.3">
      <c r="A10" s="1" t="s">
        <v>28</v>
      </c>
      <c r="B10" s="1" t="s">
        <v>27</v>
      </c>
      <c r="C10" s="2">
        <v>235000</v>
      </c>
      <c r="D10" s="2">
        <v>900000</v>
      </c>
      <c r="E10" s="2">
        <f t="shared" si="0"/>
        <v>1135000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지급액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 codeName="Sheet3">
    <tabColor theme="7" tint="0.59999389629810485"/>
  </sheetPr>
  <dimension ref="A1:E10"/>
  <sheetViews>
    <sheetView workbookViewId="0">
      <selection activeCell="E12" sqref="E12"/>
    </sheetView>
  </sheetViews>
  <sheetFormatPr defaultRowHeight="16.5" x14ac:dyDescent="0.3"/>
  <sheetData>
    <row r="1" spans="1:5" x14ac:dyDescent="0.3">
      <c r="A1" s="9" t="s">
        <v>29</v>
      </c>
      <c r="B1" s="9"/>
      <c r="C1" s="9"/>
      <c r="D1" s="9"/>
      <c r="E1" s="9"/>
    </row>
    <row r="3" spans="1:5" x14ac:dyDescent="0.3">
      <c r="A3" s="5" t="s">
        <v>30</v>
      </c>
      <c r="B3" s="5" t="s">
        <v>31</v>
      </c>
      <c r="C3" s="5" t="s">
        <v>32</v>
      </c>
      <c r="D3" s="5" t="s">
        <v>33</v>
      </c>
      <c r="E3" s="5" t="s">
        <v>34</v>
      </c>
    </row>
    <row r="4" spans="1:5" x14ac:dyDescent="0.3">
      <c r="A4" s="1" t="s">
        <v>35</v>
      </c>
      <c r="B4" s="2">
        <v>3426</v>
      </c>
      <c r="C4" s="2">
        <v>3540</v>
      </c>
      <c r="D4" s="2">
        <v>3115</v>
      </c>
      <c r="E4" s="2">
        <f>SUM(B4:D4)</f>
        <v>10081</v>
      </c>
    </row>
    <row r="5" spans="1:5" x14ac:dyDescent="0.3">
      <c r="A5" s="1" t="s">
        <v>36</v>
      </c>
      <c r="B5" s="2">
        <v>3268</v>
      </c>
      <c r="C5" s="2">
        <v>3658</v>
      </c>
      <c r="D5" s="2">
        <v>3419</v>
      </c>
      <c r="E5" s="2">
        <f t="shared" ref="E5:E10" si="0">SUM(B5:D5)</f>
        <v>10345</v>
      </c>
    </row>
    <row r="6" spans="1:5" x14ac:dyDescent="0.3">
      <c r="A6" s="1" t="s">
        <v>37</v>
      </c>
      <c r="B6" s="2">
        <v>3049</v>
      </c>
      <c r="C6" s="2">
        <v>3206</v>
      </c>
      <c r="D6" s="2">
        <v>2921</v>
      </c>
      <c r="E6" s="2">
        <f t="shared" si="0"/>
        <v>9176</v>
      </c>
    </row>
    <row r="7" spans="1:5" x14ac:dyDescent="0.3">
      <c r="A7" s="1" t="s">
        <v>38</v>
      </c>
      <c r="B7" s="2">
        <v>3165</v>
      </c>
      <c r="C7" s="2">
        <v>3740</v>
      </c>
      <c r="D7" s="2">
        <v>3391</v>
      </c>
      <c r="E7" s="2">
        <f t="shared" si="0"/>
        <v>10296</v>
      </c>
    </row>
    <row r="8" spans="1:5" x14ac:dyDescent="0.3">
      <c r="A8" s="1" t="s">
        <v>39</v>
      </c>
      <c r="B8" s="2">
        <v>3357</v>
      </c>
      <c r="C8" s="2">
        <v>3761</v>
      </c>
      <c r="D8" s="2">
        <v>3410</v>
      </c>
      <c r="E8" s="2">
        <f t="shared" si="0"/>
        <v>10528</v>
      </c>
    </row>
    <row r="9" spans="1:5" x14ac:dyDescent="0.3">
      <c r="A9" s="1" t="s">
        <v>40</v>
      </c>
      <c r="B9" s="2">
        <v>3279</v>
      </c>
      <c r="C9" s="2">
        <v>3871</v>
      </c>
      <c r="D9" s="2">
        <v>3556</v>
      </c>
      <c r="E9" s="2">
        <f t="shared" si="0"/>
        <v>10706</v>
      </c>
    </row>
    <row r="10" spans="1:5" x14ac:dyDescent="0.3">
      <c r="A10" s="1" t="s">
        <v>41</v>
      </c>
      <c r="B10" s="2">
        <v>3118</v>
      </c>
      <c r="C10" s="2">
        <v>3786</v>
      </c>
      <c r="D10" s="2">
        <v>3382</v>
      </c>
      <c r="E10" s="2">
        <f t="shared" si="0"/>
        <v>10286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합계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 codeName="Sheet4">
    <tabColor theme="7" tint="0.59999389629810485"/>
  </sheetPr>
  <dimension ref="A1:E10"/>
  <sheetViews>
    <sheetView workbookViewId="0">
      <selection activeCell="F6" sqref="F6"/>
    </sheetView>
  </sheetViews>
  <sheetFormatPr defaultRowHeight="16.5" x14ac:dyDescent="0.3"/>
  <cols>
    <col min="6" max="6" width="5.625" customWidth="1"/>
    <col min="7" max="8" width="6.625" customWidth="1"/>
  </cols>
  <sheetData>
    <row r="1" spans="1:5" x14ac:dyDescent="0.3">
      <c r="A1" s="9" t="s">
        <v>42</v>
      </c>
      <c r="B1" s="9"/>
      <c r="C1" s="9"/>
      <c r="D1" s="9"/>
      <c r="E1" s="9"/>
    </row>
    <row r="3" spans="1:5" x14ac:dyDescent="0.3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</row>
    <row r="4" spans="1:5" x14ac:dyDescent="0.3">
      <c r="A4" s="1" t="s">
        <v>48</v>
      </c>
      <c r="B4" s="1">
        <v>85</v>
      </c>
      <c r="C4" s="1">
        <v>86</v>
      </c>
      <c r="D4" s="1">
        <v>88</v>
      </c>
      <c r="E4" s="3">
        <f>AVERAGE(B4:D4)</f>
        <v>86.333333333333329</v>
      </c>
    </row>
    <row r="5" spans="1:5" x14ac:dyDescent="0.3">
      <c r="A5" s="1" t="s">
        <v>49</v>
      </c>
      <c r="B5" s="1">
        <v>76</v>
      </c>
      <c r="C5" s="1">
        <v>71</v>
      </c>
      <c r="D5" s="1">
        <v>73</v>
      </c>
      <c r="E5" s="3">
        <f t="shared" ref="E5:E10" si="0">AVERAGE(B5:D5)</f>
        <v>73.333333333333329</v>
      </c>
    </row>
    <row r="6" spans="1:5" x14ac:dyDescent="0.3">
      <c r="A6" s="1" t="s">
        <v>50</v>
      </c>
      <c r="B6" s="1">
        <v>91</v>
      </c>
      <c r="C6" s="1">
        <v>93</v>
      </c>
      <c r="D6" s="1">
        <v>90</v>
      </c>
      <c r="E6" s="3">
        <f t="shared" si="0"/>
        <v>91.333333333333329</v>
      </c>
    </row>
    <row r="7" spans="1:5" x14ac:dyDescent="0.3">
      <c r="A7" s="1" t="s">
        <v>51</v>
      </c>
      <c r="B7" s="1">
        <v>95</v>
      </c>
      <c r="C7" s="1">
        <v>95</v>
      </c>
      <c r="D7" s="1">
        <v>96</v>
      </c>
      <c r="E7" s="3">
        <f t="shared" si="0"/>
        <v>95.333333333333329</v>
      </c>
    </row>
    <row r="8" spans="1:5" x14ac:dyDescent="0.3">
      <c r="A8" s="1" t="s">
        <v>52</v>
      </c>
      <c r="B8" s="1">
        <v>87</v>
      </c>
      <c r="C8" s="1">
        <v>88</v>
      </c>
      <c r="D8" s="1">
        <v>85</v>
      </c>
      <c r="E8" s="3">
        <f t="shared" si="0"/>
        <v>86.666666666666671</v>
      </c>
    </row>
    <row r="9" spans="1:5" x14ac:dyDescent="0.3">
      <c r="A9" s="1" t="s">
        <v>53</v>
      </c>
      <c r="B9" s="1">
        <v>69</v>
      </c>
      <c r="C9" s="1">
        <v>64</v>
      </c>
      <c r="D9" s="1">
        <v>70</v>
      </c>
      <c r="E9" s="3">
        <f t="shared" si="0"/>
        <v>67.666666666666671</v>
      </c>
    </row>
    <row r="10" spans="1:5" x14ac:dyDescent="0.3">
      <c r="A10" s="1" t="s">
        <v>54</v>
      </c>
      <c r="B10" s="1">
        <v>81</v>
      </c>
      <c r="C10" s="1">
        <v>79</v>
      </c>
      <c r="D10" s="1">
        <v>83</v>
      </c>
      <c r="E10" s="3">
        <f t="shared" si="0"/>
        <v>81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평균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3A6A4-E7D5-43EF-977D-F783F4748AA5}">
  <sheetPr codeName="Sheet5">
    <tabColor theme="7" tint="0.59999389629810485"/>
  </sheetPr>
  <dimension ref="A1:E10"/>
  <sheetViews>
    <sheetView workbookViewId="0">
      <selection sqref="A1:E1"/>
    </sheetView>
  </sheetViews>
  <sheetFormatPr defaultRowHeight="16.5" x14ac:dyDescent="0.3"/>
  <cols>
    <col min="1" max="1" width="11" bestFit="1" customWidth="1"/>
    <col min="2" max="2" width="12.125" customWidth="1"/>
    <col min="5" max="5" width="13.125" customWidth="1"/>
  </cols>
  <sheetData>
    <row r="1" spans="1:5" x14ac:dyDescent="0.3">
      <c r="A1" s="9" t="s">
        <v>55</v>
      </c>
      <c r="B1" s="9"/>
      <c r="C1" s="9"/>
      <c r="D1" s="9"/>
      <c r="E1" s="9"/>
    </row>
    <row r="3" spans="1:5" x14ac:dyDescent="0.3">
      <c r="A3" s="1" t="s">
        <v>56</v>
      </c>
      <c r="B3" s="1" t="s">
        <v>3</v>
      </c>
      <c r="C3" s="1" t="s">
        <v>4</v>
      </c>
      <c r="D3" s="1" t="s">
        <v>57</v>
      </c>
      <c r="E3" s="1" t="s">
        <v>58</v>
      </c>
    </row>
    <row r="4" spans="1:5" x14ac:dyDescent="0.3">
      <c r="A4" s="1" t="s">
        <v>59</v>
      </c>
      <c r="B4" s="7">
        <v>1500000</v>
      </c>
      <c r="C4" s="1">
        <v>37</v>
      </c>
      <c r="D4" s="1">
        <v>19</v>
      </c>
      <c r="E4" s="7">
        <f>B4*C4</f>
        <v>55500000</v>
      </c>
    </row>
    <row r="5" spans="1:5" x14ac:dyDescent="0.3">
      <c r="A5" s="1" t="s">
        <v>60</v>
      </c>
      <c r="B5" s="7">
        <v>1250000</v>
      </c>
      <c r="C5" s="1">
        <v>61</v>
      </c>
      <c r="D5" s="1">
        <v>13</v>
      </c>
      <c r="E5" s="7">
        <f t="shared" ref="E5:E10" si="0">B5*C5</f>
        <v>76250000</v>
      </c>
    </row>
    <row r="6" spans="1:5" x14ac:dyDescent="0.3">
      <c r="A6" s="1" t="s">
        <v>61</v>
      </c>
      <c r="B6" s="7">
        <v>950000</v>
      </c>
      <c r="C6" s="1">
        <v>58</v>
      </c>
      <c r="D6" s="1">
        <v>8</v>
      </c>
      <c r="E6" s="7">
        <f t="shared" si="0"/>
        <v>55100000</v>
      </c>
    </row>
    <row r="7" spans="1:5" x14ac:dyDescent="0.3">
      <c r="A7" s="1" t="s">
        <v>62</v>
      </c>
      <c r="B7" s="7">
        <v>800000</v>
      </c>
      <c r="C7" s="1">
        <v>46</v>
      </c>
      <c r="D7" s="1">
        <v>11</v>
      </c>
      <c r="E7" s="7">
        <f t="shared" si="0"/>
        <v>36800000</v>
      </c>
    </row>
    <row r="8" spans="1:5" x14ac:dyDescent="0.3">
      <c r="A8" s="1" t="s">
        <v>63</v>
      </c>
      <c r="B8" s="7">
        <v>1200000</v>
      </c>
      <c r="C8" s="1">
        <v>29</v>
      </c>
      <c r="D8" s="1">
        <v>10</v>
      </c>
      <c r="E8" s="7">
        <f t="shared" si="0"/>
        <v>34800000</v>
      </c>
    </row>
    <row r="9" spans="1:5" x14ac:dyDescent="0.3">
      <c r="A9" s="1" t="s">
        <v>64</v>
      </c>
      <c r="B9" s="7">
        <v>780000</v>
      </c>
      <c r="C9" s="1">
        <v>33</v>
      </c>
      <c r="D9" s="1">
        <v>9</v>
      </c>
      <c r="E9" s="7">
        <f t="shared" si="0"/>
        <v>25740000</v>
      </c>
    </row>
    <row r="10" spans="1:5" x14ac:dyDescent="0.3">
      <c r="A10" s="1" t="s">
        <v>65</v>
      </c>
      <c r="B10" s="7">
        <v>250000</v>
      </c>
      <c r="C10" s="1">
        <v>45</v>
      </c>
      <c r="D10" s="1">
        <v>13</v>
      </c>
      <c r="E10" s="7">
        <f t="shared" si="0"/>
        <v>11250000</v>
      </c>
    </row>
  </sheetData>
  <mergeCells count="1">
    <mergeCell ref="A1:E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총판매액">
                <anchor moveWithCells="1" siz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07FD4-FD77-4DE8-B668-E191DF8F3C24}">
  <sheetPr codeName="Sheet6">
    <tabColor theme="7" tint="0.59999389629810485"/>
  </sheetPr>
  <dimension ref="A1:E9"/>
  <sheetViews>
    <sheetView tabSelected="1" workbookViewId="0">
      <selection sqref="A1:E1"/>
    </sheetView>
  </sheetViews>
  <sheetFormatPr defaultRowHeight="16.5" x14ac:dyDescent="0.3"/>
  <cols>
    <col min="2" max="2" width="12.125" customWidth="1"/>
    <col min="3" max="5" width="11.125" customWidth="1"/>
  </cols>
  <sheetData>
    <row r="1" spans="1:5" x14ac:dyDescent="0.3">
      <c r="A1" s="9" t="s">
        <v>66</v>
      </c>
      <c r="B1" s="9"/>
      <c r="C1" s="9"/>
      <c r="D1" s="9"/>
      <c r="E1" s="9"/>
    </row>
    <row r="3" spans="1:5" x14ac:dyDescent="0.3">
      <c r="A3" s="1" t="s">
        <v>67</v>
      </c>
      <c r="B3" s="1" t="s">
        <v>68</v>
      </c>
      <c r="C3" s="1" t="s">
        <v>69</v>
      </c>
      <c r="D3" s="1" t="s">
        <v>70</v>
      </c>
      <c r="E3" s="1" t="s">
        <v>71</v>
      </c>
    </row>
    <row r="4" spans="1:5" x14ac:dyDescent="0.3">
      <c r="A4" s="1">
        <v>1</v>
      </c>
      <c r="B4" s="8">
        <v>12500000</v>
      </c>
      <c r="C4" s="8">
        <v>3440000</v>
      </c>
      <c r="D4" s="8">
        <v>4500000</v>
      </c>
      <c r="E4" s="8">
        <f>B4-(C4+D4)</f>
        <v>4560000</v>
      </c>
    </row>
    <row r="5" spans="1:5" x14ac:dyDescent="0.3">
      <c r="A5" s="1">
        <v>2</v>
      </c>
      <c r="B5" s="8">
        <v>15680000</v>
      </c>
      <c r="C5" s="8">
        <v>4280000</v>
      </c>
      <c r="D5" s="8">
        <v>6000000</v>
      </c>
      <c r="E5" s="8">
        <f t="shared" ref="E5:E9" si="0">B5-(C5+D5)</f>
        <v>5400000</v>
      </c>
    </row>
    <row r="6" spans="1:5" x14ac:dyDescent="0.3">
      <c r="A6" s="1">
        <v>3</v>
      </c>
      <c r="B6" s="8">
        <v>13840000</v>
      </c>
      <c r="C6" s="8">
        <v>3875000</v>
      </c>
      <c r="D6" s="8">
        <v>6000000</v>
      </c>
      <c r="E6" s="8">
        <f t="shared" si="0"/>
        <v>3965000</v>
      </c>
    </row>
    <row r="7" spans="1:5" x14ac:dyDescent="0.3">
      <c r="A7" s="1">
        <v>4</v>
      </c>
      <c r="B7" s="8">
        <v>16770000</v>
      </c>
      <c r="C7" s="8">
        <v>4462000</v>
      </c>
      <c r="D7" s="8">
        <v>7500000</v>
      </c>
      <c r="E7" s="8">
        <f t="shared" si="0"/>
        <v>4808000</v>
      </c>
    </row>
    <row r="8" spans="1:5" x14ac:dyDescent="0.3">
      <c r="A8" s="1">
        <v>5</v>
      </c>
      <c r="B8" s="8">
        <v>18000000</v>
      </c>
      <c r="C8" s="8">
        <v>4840000</v>
      </c>
      <c r="D8" s="8">
        <v>7500000</v>
      </c>
      <c r="E8" s="8">
        <f t="shared" si="0"/>
        <v>5660000</v>
      </c>
    </row>
    <row r="9" spans="1:5" x14ac:dyDescent="0.3">
      <c r="A9" s="1">
        <v>6</v>
      </c>
      <c r="B9" s="8">
        <v>17250000</v>
      </c>
      <c r="C9" s="8">
        <v>4730000</v>
      </c>
      <c r="D9" s="8">
        <v>7500000</v>
      </c>
      <c r="E9" s="8">
        <f t="shared" si="0"/>
        <v>5020000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순이익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</vt:lpstr>
      <vt:lpstr>대표기출문제_기출1</vt:lpstr>
      <vt:lpstr>기출2</vt:lpstr>
      <vt:lpstr>기출3</vt:lpstr>
      <vt:lpstr>기출4</vt:lpstr>
      <vt:lpstr>기출5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2026-01-22T22:45:24Z</dcterms:modified>
</cp:coreProperties>
</file>