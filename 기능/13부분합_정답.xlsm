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157FA1DC-BE98-48DC-8316-3817E8883C3B}" xr6:coauthVersionLast="47" xr6:coauthVersionMax="47" xr10:uidLastSave="{00000000-0000-0000-0000-000000000000}"/>
  <bookViews>
    <workbookView xWindow="12315" yWindow="2115" windowWidth="14460" windowHeight="11325" tabRatio="926" activeTab="4" xr2:uid="{1EA7D4BC-0E71-467A-81F4-8371BAA0CFDB}"/>
  </bookViews>
  <sheets>
    <sheet name="출제유형_01" sheetId="6" r:id="rId1"/>
    <sheet name="02" sheetId="8" r:id="rId2"/>
    <sheet name="대표기출문제_기출1" sheetId="1" r:id="rId3"/>
    <sheet name="기출2" sheetId="9" r:id="rId4"/>
    <sheet name="기출3" sheetId="1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11" l="1"/>
  <c r="E20" i="11"/>
  <c r="E16" i="11"/>
  <c r="E13" i="11"/>
  <c r="E9" i="11"/>
  <c r="E6" i="11"/>
  <c r="E25" i="11" s="1"/>
  <c r="F5" i="11" l="1"/>
  <c r="G5" i="11" s="1"/>
  <c r="F19" i="11"/>
  <c r="G19" i="11" s="1"/>
  <c r="F8" i="11"/>
  <c r="G8" i="11" s="1"/>
  <c r="F12" i="11"/>
  <c r="G12" i="11" s="1"/>
  <c r="F15" i="11"/>
  <c r="G15" i="11" s="1"/>
  <c r="F22" i="11"/>
  <c r="G22" i="11" s="1"/>
  <c r="F7" i="11"/>
  <c r="G7" i="11" s="1"/>
  <c r="F11" i="11"/>
  <c r="G11" i="11" s="1"/>
  <c r="F4" i="11"/>
  <c r="G4" i="11" s="1"/>
  <c r="F14" i="11"/>
  <c r="G14" i="11" s="1"/>
  <c r="F21" i="11"/>
  <c r="G21" i="11" s="1"/>
  <c r="F18" i="11"/>
  <c r="G18" i="11" s="1"/>
  <c r="G24" i="11" s="1"/>
  <c r="G17" i="11" l="1"/>
  <c r="G10" i="11"/>
  <c r="E20" i="9"/>
  <c r="D20" i="9"/>
  <c r="C20" i="9"/>
  <c r="E14" i="9"/>
  <c r="D14" i="9"/>
  <c r="C14" i="9"/>
  <c r="E8" i="9"/>
  <c r="E22" i="9" s="1"/>
  <c r="D8" i="9"/>
  <c r="D22" i="9" s="1"/>
  <c r="C8" i="9"/>
  <c r="C22" i="9" s="1"/>
  <c r="E21" i="9"/>
  <c r="D21" i="9"/>
  <c r="C21" i="9"/>
  <c r="E15" i="9"/>
  <c r="D15" i="9"/>
  <c r="C15" i="9"/>
  <c r="E9" i="9"/>
  <c r="E23" i="9" s="1"/>
  <c r="D9" i="9"/>
  <c r="C9" i="9"/>
  <c r="F20" i="1"/>
  <c r="E20" i="1"/>
  <c r="F14" i="1"/>
  <c r="E14" i="1"/>
  <c r="F8" i="1"/>
  <c r="F22" i="1" s="1"/>
  <c r="E8" i="1"/>
  <c r="E22" i="1" s="1"/>
  <c r="C21" i="1"/>
  <c r="C15" i="1"/>
  <c r="C9" i="1"/>
  <c r="C23" i="1" s="1"/>
  <c r="F17" i="8"/>
  <c r="E17" i="8"/>
  <c r="D17" i="8"/>
  <c r="C17" i="8"/>
  <c r="F12" i="8"/>
  <c r="E12" i="8"/>
  <c r="D12" i="8"/>
  <c r="C12" i="8"/>
  <c r="F7" i="8"/>
  <c r="F19" i="8" s="1"/>
  <c r="E7" i="8"/>
  <c r="E19" i="8" s="1"/>
  <c r="D7" i="8"/>
  <c r="D19" i="8" s="1"/>
  <c r="C7" i="8"/>
  <c r="C19" i="8" s="1"/>
  <c r="G26" i="11" l="1"/>
  <c r="C23" i="9"/>
  <c r="D23" i="9"/>
  <c r="G4" i="1"/>
  <c r="G10" i="1"/>
  <c r="G11" i="1"/>
  <c r="G17" i="1"/>
  <c r="G5" i="1"/>
  <c r="G18" i="1"/>
  <c r="G12" i="1"/>
  <c r="G6" i="1"/>
  <c r="G19" i="1"/>
  <c r="G13" i="1"/>
  <c r="G7" i="1"/>
  <c r="G16" i="1"/>
  <c r="G20" i="1" s="1"/>
  <c r="G16" i="8"/>
  <c r="G15" i="8"/>
  <c r="G14" i="8"/>
  <c r="G18" i="8" s="1"/>
  <c r="G11" i="8"/>
  <c r="G10" i="8"/>
  <c r="G9" i="8"/>
  <c r="G13" i="8" s="1"/>
  <c r="G6" i="8"/>
  <c r="G5" i="8"/>
  <c r="G4" i="8"/>
  <c r="G14" i="1" l="1"/>
  <c r="G8" i="1"/>
  <c r="G22" i="1" s="1"/>
  <c r="G8" i="8"/>
  <c r="G20" i="8"/>
</calcChain>
</file>

<file path=xl/sharedStrings.xml><?xml version="1.0" encoding="utf-8"?>
<sst xmlns="http://schemas.openxmlformats.org/spreadsheetml/2006/main" count="183" uniqueCount="126">
  <si>
    <t>정보통신공학부 성적 일람표</t>
    <phoneticPr fontId="1" type="noConversion"/>
  </si>
  <si>
    <t>이름</t>
  </si>
  <si>
    <t>학과</t>
  </si>
  <si>
    <t>중간</t>
  </si>
  <si>
    <t>기말</t>
  </si>
  <si>
    <t>과제</t>
  </si>
  <si>
    <t>출석</t>
  </si>
  <si>
    <t>합계</t>
  </si>
  <si>
    <t>강선교</t>
  </si>
  <si>
    <t>시스템</t>
  </si>
  <si>
    <t>박인숙</t>
  </si>
  <si>
    <t>네트워크</t>
  </si>
  <si>
    <t>윤진희</t>
  </si>
  <si>
    <t>정보처리</t>
  </si>
  <si>
    <t>이종택</t>
  </si>
  <si>
    <t>권진현</t>
  </si>
  <si>
    <t>최석두</t>
  </si>
  <si>
    <t>황진이</t>
  </si>
  <si>
    <t>허나리</t>
  </si>
  <si>
    <t>김선희</t>
  </si>
  <si>
    <t>이름</t>
    <phoneticPr fontId="1" type="noConversion"/>
  </si>
  <si>
    <t>학과</t>
    <phoneticPr fontId="1" type="noConversion"/>
  </si>
  <si>
    <t>중간</t>
    <phoneticPr fontId="1" type="noConversion"/>
  </si>
  <si>
    <t>기말</t>
    <phoneticPr fontId="1" type="noConversion"/>
  </si>
  <si>
    <t>과제</t>
    <phoneticPr fontId="1" type="noConversion"/>
  </si>
  <si>
    <t>출석</t>
    <phoneticPr fontId="1" type="noConversion"/>
  </si>
  <si>
    <t>합계</t>
    <phoneticPr fontId="1" type="noConversion"/>
  </si>
  <si>
    <t>박인숙</t>
    <phoneticPr fontId="1" type="noConversion"/>
  </si>
  <si>
    <t>네트워크</t>
    <phoneticPr fontId="1" type="noConversion"/>
  </si>
  <si>
    <t>이종택</t>
    <phoneticPr fontId="1" type="noConversion"/>
  </si>
  <si>
    <t>김선희</t>
    <phoneticPr fontId="1" type="noConversion"/>
  </si>
  <si>
    <t>강선교</t>
    <phoneticPr fontId="1" type="noConversion"/>
  </si>
  <si>
    <t>시스템</t>
    <phoneticPr fontId="1" type="noConversion"/>
  </si>
  <si>
    <t>최석두</t>
    <phoneticPr fontId="1" type="noConversion"/>
  </si>
  <si>
    <t>황진이</t>
    <phoneticPr fontId="1" type="noConversion"/>
  </si>
  <si>
    <t>윤진희</t>
    <phoneticPr fontId="1" type="noConversion"/>
  </si>
  <si>
    <t>정보처리</t>
    <phoneticPr fontId="1" type="noConversion"/>
  </si>
  <si>
    <t>권진현</t>
    <phoneticPr fontId="1" type="noConversion"/>
  </si>
  <si>
    <t>허나리</t>
    <phoneticPr fontId="1" type="noConversion"/>
  </si>
  <si>
    <t>대리점별 제품 주문 현황</t>
    <phoneticPr fontId="1" type="noConversion"/>
  </si>
  <si>
    <t>대리점</t>
  </si>
  <si>
    <t>제품명</t>
  </si>
  <si>
    <t>주문수량</t>
  </si>
  <si>
    <t>할인수량</t>
  </si>
  <si>
    <t>주문금액</t>
  </si>
  <si>
    <t>할인금액</t>
  </si>
  <si>
    <t>수령예정액</t>
  </si>
  <si>
    <t>광진점</t>
  </si>
  <si>
    <t>스피커</t>
  </si>
  <si>
    <t>서대문점</t>
  </si>
  <si>
    <t>마우스</t>
  </si>
  <si>
    <t>동작점</t>
  </si>
  <si>
    <t>USB</t>
  </si>
  <si>
    <t>키보드</t>
  </si>
  <si>
    <t>1학년 성적표</t>
    <phoneticPr fontId="1" type="noConversion"/>
  </si>
  <si>
    <t>학생명</t>
  </si>
  <si>
    <t>반</t>
  </si>
  <si>
    <t>국어</t>
  </si>
  <si>
    <t>영어</t>
  </si>
  <si>
    <t>수학</t>
  </si>
  <si>
    <t>총점</t>
  </si>
  <si>
    <t>평균</t>
  </si>
  <si>
    <t>강지훈</t>
  </si>
  <si>
    <t>김은소</t>
  </si>
  <si>
    <t>남윤선</t>
  </si>
  <si>
    <t>배영현</t>
  </si>
  <si>
    <t>신다은</t>
  </si>
  <si>
    <t>안수민</t>
  </si>
  <si>
    <t>안하정</t>
  </si>
  <si>
    <t>유종연</t>
  </si>
  <si>
    <t>이채현</t>
  </si>
  <si>
    <t>조소은</t>
  </si>
  <si>
    <t>한윤오</t>
  </si>
  <si>
    <t>황주혁</t>
  </si>
  <si>
    <t>3월 급여 지급 현황</t>
    <phoneticPr fontId="1" type="noConversion"/>
  </si>
  <si>
    <t>사원명</t>
  </si>
  <si>
    <t>부서</t>
  </si>
  <si>
    <t>직위</t>
  </si>
  <si>
    <t>기본급</t>
  </si>
  <si>
    <t>수당</t>
  </si>
  <si>
    <t>세금</t>
  </si>
  <si>
    <t>실지급액</t>
  </si>
  <si>
    <t>고수현</t>
  </si>
  <si>
    <t>경리부</t>
  </si>
  <si>
    <t>대리</t>
  </si>
  <si>
    <t>김민정</t>
  </si>
  <si>
    <t>사원</t>
  </si>
  <si>
    <t>노재훈</t>
  </si>
  <si>
    <t>생산부</t>
  </si>
  <si>
    <t>배지민</t>
  </si>
  <si>
    <t>영업부</t>
  </si>
  <si>
    <t>백명기</t>
  </si>
  <si>
    <t>백진성</t>
  </si>
  <si>
    <t>신정수</t>
  </si>
  <si>
    <t>양효진</t>
  </si>
  <si>
    <t>유수빈</t>
  </si>
  <si>
    <t>윤시민</t>
  </si>
  <si>
    <t>최명우</t>
  </si>
  <si>
    <t>최헌기</t>
  </si>
  <si>
    <t>네트워크 평균</t>
  </si>
  <si>
    <t>시스템 평균</t>
  </si>
  <si>
    <t>정보처리 평균</t>
  </si>
  <si>
    <t>전체 평균</t>
  </si>
  <si>
    <t>네트워크 최대</t>
  </si>
  <si>
    <t>시스템 최대</t>
  </si>
  <si>
    <t>정보처리 최대</t>
  </si>
  <si>
    <t>전체 최대값</t>
  </si>
  <si>
    <t>서대문점 최대</t>
  </si>
  <si>
    <t>동작점 최대</t>
  </si>
  <si>
    <t>광진점 최대</t>
  </si>
  <si>
    <t>서대문점 평균</t>
  </si>
  <si>
    <t>동작점 평균</t>
  </si>
  <si>
    <t>광진점 평균</t>
  </si>
  <si>
    <t>1 요약</t>
  </si>
  <si>
    <t>2 요약</t>
  </si>
  <si>
    <t>3 요약</t>
  </si>
  <si>
    <t>총합계</t>
  </si>
  <si>
    <t>1 평균</t>
  </si>
  <si>
    <t>2 평균</t>
  </si>
  <si>
    <t>3 평균</t>
  </si>
  <si>
    <t>영업부 최대</t>
  </si>
  <si>
    <t>생산부 최대</t>
  </si>
  <si>
    <t>경리부 최대</t>
  </si>
  <si>
    <t>대리 최소</t>
  </si>
  <si>
    <t>사원 최소</t>
  </si>
  <si>
    <t>전체 최소값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</si>
</sst>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4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7811B4-375A-47E3-A980-8610E6CFAC7E}" name="표3" displayName="표3" ref="A3:G26" totalsRowShown="0" headerRowDxfId="9" dataDxfId="7" headerRowBorderDxfId="8" tableBorderDxfId="6" dataCellStyle="쉼표 [0]">
  <autoFilter ref="A3:G26" xr:uid="{717811B4-375A-47E3-A980-8610E6CFAC7E}"/>
  <tableColumns count="7">
    <tableColumn id="1" xr3:uid="{638ADE59-4356-495E-85AC-C235D9D50A80}" name="사원명" dataDxfId="5"/>
    <tableColumn id="2" xr3:uid="{D228ACD5-2C64-46D8-88FB-CE6A4589D864}" name="부서" dataDxfId="4"/>
    <tableColumn id="3" xr3:uid="{9245EF12-BC58-46F3-8A68-93B851D7ED8D}" name="직위"/>
    <tableColumn id="4" xr3:uid="{979FD517-AA9E-4D28-B259-63AE933EAD75}" name="기본급" dataDxfId="3" dataCellStyle="쉼표 [0]"/>
    <tableColumn id="5" xr3:uid="{D6DAFF70-645A-44F8-8F11-9EA3EBB2F732}" name="수당" dataDxfId="2" dataCellStyle="쉼표 [0]"/>
    <tableColumn id="6" xr3:uid="{402A5B5A-A589-4634-BC6F-CEA6EB3840EB}" name="세금" dataDxfId="1" dataCellStyle="쉼표 [0]"/>
    <tableColumn id="7" xr3:uid="{9EBDAE5A-173E-4347-87E2-6BE381D8FC8E}" name="실지급액" dataDxfId="0" dataCellStyle="쉼표 [0]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2"/>
  <sheetViews>
    <sheetView workbookViewId="0">
      <selection activeCell="C17" sqref="C17"/>
    </sheetView>
  </sheetViews>
  <sheetFormatPr defaultRowHeight="16.5" x14ac:dyDescent="0.3"/>
  <sheetData>
    <row r="1" spans="1:7" x14ac:dyDescent="0.3">
      <c r="A1" s="13" t="s">
        <v>0</v>
      </c>
      <c r="B1" s="13"/>
      <c r="C1" s="13"/>
      <c r="D1" s="13"/>
      <c r="E1" s="13"/>
      <c r="F1" s="13"/>
      <c r="G1" s="13"/>
    </row>
    <row r="3" spans="1:7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3">
      <c r="A4" s="1" t="s">
        <v>10</v>
      </c>
      <c r="B4" s="1" t="s">
        <v>11</v>
      </c>
      <c r="C4" s="1">
        <v>39</v>
      </c>
      <c r="D4" s="1">
        <v>38</v>
      </c>
      <c r="E4" s="1">
        <v>8</v>
      </c>
      <c r="F4" s="1">
        <v>10</v>
      </c>
      <c r="G4" s="1">
        <v>95</v>
      </c>
    </row>
    <row r="5" spans="1:7" x14ac:dyDescent="0.3">
      <c r="A5" s="1" t="s">
        <v>14</v>
      </c>
      <c r="B5" s="1" t="s">
        <v>11</v>
      </c>
      <c r="C5" s="1">
        <v>32</v>
      </c>
      <c r="D5" s="1">
        <v>34</v>
      </c>
      <c r="E5" s="1">
        <v>10</v>
      </c>
      <c r="F5" s="1">
        <v>8</v>
      </c>
      <c r="G5" s="1">
        <v>84</v>
      </c>
    </row>
    <row r="6" spans="1:7" x14ac:dyDescent="0.3">
      <c r="A6" s="1" t="s">
        <v>19</v>
      </c>
      <c r="B6" s="1" t="s">
        <v>11</v>
      </c>
      <c r="C6" s="1">
        <v>38</v>
      </c>
      <c r="D6" s="1">
        <v>38</v>
      </c>
      <c r="E6" s="1">
        <v>9</v>
      </c>
      <c r="F6" s="1">
        <v>10</v>
      </c>
      <c r="G6" s="1">
        <v>95</v>
      </c>
    </row>
    <row r="7" spans="1:7" x14ac:dyDescent="0.3">
      <c r="A7" s="1" t="s">
        <v>8</v>
      </c>
      <c r="B7" s="1" t="s">
        <v>9</v>
      </c>
      <c r="C7" s="1">
        <v>36</v>
      </c>
      <c r="D7" s="1">
        <v>37</v>
      </c>
      <c r="E7" s="1">
        <v>9</v>
      </c>
      <c r="F7" s="1">
        <v>10</v>
      </c>
      <c r="G7" s="1">
        <v>92</v>
      </c>
    </row>
    <row r="8" spans="1:7" x14ac:dyDescent="0.3">
      <c r="A8" s="1" t="s">
        <v>16</v>
      </c>
      <c r="B8" s="1" t="s">
        <v>9</v>
      </c>
      <c r="C8" s="1">
        <v>35</v>
      </c>
      <c r="D8" s="1">
        <v>32</v>
      </c>
      <c r="E8" s="1">
        <v>9</v>
      </c>
      <c r="F8" s="1">
        <v>9</v>
      </c>
      <c r="G8" s="1">
        <v>85</v>
      </c>
    </row>
    <row r="9" spans="1:7" x14ac:dyDescent="0.3">
      <c r="A9" s="1" t="s">
        <v>17</v>
      </c>
      <c r="B9" s="1" t="s">
        <v>9</v>
      </c>
      <c r="C9" s="1">
        <v>24</v>
      </c>
      <c r="D9" s="1">
        <v>26</v>
      </c>
      <c r="E9" s="1">
        <v>7</v>
      </c>
      <c r="F9" s="1">
        <v>10</v>
      </c>
      <c r="G9" s="1">
        <v>67</v>
      </c>
    </row>
    <row r="10" spans="1:7" x14ac:dyDescent="0.3">
      <c r="A10" s="1" t="s">
        <v>12</v>
      </c>
      <c r="B10" s="1" t="s">
        <v>13</v>
      </c>
      <c r="C10" s="1">
        <v>30</v>
      </c>
      <c r="D10" s="1">
        <v>32</v>
      </c>
      <c r="E10" s="1">
        <v>10</v>
      </c>
      <c r="F10" s="1">
        <v>10</v>
      </c>
      <c r="G10" s="1">
        <v>82</v>
      </c>
    </row>
    <row r="11" spans="1:7" x14ac:dyDescent="0.3">
      <c r="A11" s="1" t="s">
        <v>15</v>
      </c>
      <c r="B11" s="1" t="s">
        <v>13</v>
      </c>
      <c r="C11" s="1">
        <v>21</v>
      </c>
      <c r="D11" s="1">
        <v>20</v>
      </c>
      <c r="E11" s="1">
        <v>8</v>
      </c>
      <c r="F11" s="1">
        <v>7</v>
      </c>
      <c r="G11" s="1">
        <v>56</v>
      </c>
    </row>
    <row r="12" spans="1:7" x14ac:dyDescent="0.3">
      <c r="A12" s="1" t="s">
        <v>18</v>
      </c>
      <c r="B12" s="1" t="s">
        <v>13</v>
      </c>
      <c r="C12" s="1">
        <v>38</v>
      </c>
      <c r="D12" s="1">
        <v>31</v>
      </c>
      <c r="E12" s="1">
        <v>6</v>
      </c>
      <c r="F12" s="1">
        <v>9</v>
      </c>
      <c r="G12" s="1">
        <v>84</v>
      </c>
    </row>
  </sheetData>
  <sortState xmlns:xlrd2="http://schemas.microsoft.com/office/spreadsheetml/2017/richdata2" ref="A4:G12">
    <sortCondition ref="B4:B12"/>
  </sortState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G20"/>
  <sheetViews>
    <sheetView workbookViewId="0">
      <selection sqref="A1:G1"/>
    </sheetView>
  </sheetViews>
  <sheetFormatPr defaultRowHeight="16.5" outlineLevelRow="3" x14ac:dyDescent="0.3"/>
  <cols>
    <col min="2" max="2" width="13.25" bestFit="1" customWidth="1"/>
  </cols>
  <sheetData>
    <row r="1" spans="1:7" x14ac:dyDescent="0.3">
      <c r="A1" s="13" t="s">
        <v>0</v>
      </c>
      <c r="B1" s="13"/>
      <c r="C1" s="13"/>
      <c r="D1" s="13"/>
      <c r="E1" s="13"/>
      <c r="F1" s="13"/>
      <c r="G1" s="13"/>
    </row>
    <row r="3" spans="1:7" x14ac:dyDescent="0.3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  <c r="G3" s="1" t="s">
        <v>26</v>
      </c>
    </row>
    <row r="4" spans="1:7" outlineLevel="3" x14ac:dyDescent="0.3">
      <c r="A4" s="1" t="s">
        <v>27</v>
      </c>
      <c r="B4" s="1" t="s">
        <v>28</v>
      </c>
      <c r="C4" s="1">
        <v>39</v>
      </c>
      <c r="D4" s="1">
        <v>38</v>
      </c>
      <c r="E4" s="1">
        <v>8</v>
      </c>
      <c r="F4" s="1">
        <v>10</v>
      </c>
      <c r="G4" s="1">
        <f t="shared" ref="G4:G16" si="0">SUM(C4:F4)</f>
        <v>95</v>
      </c>
    </row>
    <row r="5" spans="1:7" outlineLevel="3" x14ac:dyDescent="0.3">
      <c r="A5" s="1" t="s">
        <v>29</v>
      </c>
      <c r="B5" s="1" t="s">
        <v>28</v>
      </c>
      <c r="C5" s="1">
        <v>32</v>
      </c>
      <c r="D5" s="1">
        <v>34</v>
      </c>
      <c r="E5" s="1">
        <v>10</v>
      </c>
      <c r="F5" s="1">
        <v>8</v>
      </c>
      <c r="G5" s="1">
        <f t="shared" si="0"/>
        <v>84</v>
      </c>
    </row>
    <row r="6" spans="1:7" outlineLevel="3" x14ac:dyDescent="0.3">
      <c r="A6" s="1" t="s">
        <v>30</v>
      </c>
      <c r="B6" s="1" t="s">
        <v>28</v>
      </c>
      <c r="C6" s="1">
        <v>38</v>
      </c>
      <c r="D6" s="1">
        <v>38</v>
      </c>
      <c r="E6" s="1">
        <v>9</v>
      </c>
      <c r="F6" s="1">
        <v>10</v>
      </c>
      <c r="G6" s="1">
        <f t="shared" si="0"/>
        <v>95</v>
      </c>
    </row>
    <row r="7" spans="1:7" outlineLevel="2" x14ac:dyDescent="0.3">
      <c r="A7" s="1"/>
      <c r="B7" s="4" t="s">
        <v>103</v>
      </c>
      <c r="C7" s="1">
        <f>SUBTOTAL(4,C4:C6)</f>
        <v>39</v>
      </c>
      <c r="D7" s="1">
        <f>SUBTOTAL(4,D4:D6)</f>
        <v>38</v>
      </c>
      <c r="E7" s="1">
        <f>SUBTOTAL(4,E4:E6)</f>
        <v>10</v>
      </c>
      <c r="F7" s="1">
        <f>SUBTOTAL(4,F4:F6)</f>
        <v>10</v>
      </c>
      <c r="G7" s="1"/>
    </row>
    <row r="8" spans="1:7" outlineLevel="1" x14ac:dyDescent="0.3">
      <c r="A8" s="1"/>
      <c r="B8" s="4" t="s">
        <v>99</v>
      </c>
      <c r="C8" s="1"/>
      <c r="D8" s="1"/>
      <c r="E8" s="1"/>
      <c r="F8" s="1"/>
      <c r="G8" s="1">
        <f>SUBTOTAL(1,G4:G6)</f>
        <v>91.333333333333329</v>
      </c>
    </row>
    <row r="9" spans="1:7" outlineLevel="3" x14ac:dyDescent="0.3">
      <c r="A9" s="1" t="s">
        <v>31</v>
      </c>
      <c r="B9" s="1" t="s">
        <v>32</v>
      </c>
      <c r="C9" s="1">
        <v>36</v>
      </c>
      <c r="D9" s="1">
        <v>37</v>
      </c>
      <c r="E9" s="1">
        <v>9</v>
      </c>
      <c r="F9" s="1">
        <v>10</v>
      </c>
      <c r="G9" s="1">
        <f t="shared" si="0"/>
        <v>92</v>
      </c>
    </row>
    <row r="10" spans="1:7" outlineLevel="3" x14ac:dyDescent="0.3">
      <c r="A10" s="1" t="s">
        <v>33</v>
      </c>
      <c r="B10" s="1" t="s">
        <v>32</v>
      </c>
      <c r="C10" s="1">
        <v>35</v>
      </c>
      <c r="D10" s="1">
        <v>32</v>
      </c>
      <c r="E10" s="1">
        <v>9</v>
      </c>
      <c r="F10" s="1">
        <v>9</v>
      </c>
      <c r="G10" s="1">
        <f t="shared" si="0"/>
        <v>85</v>
      </c>
    </row>
    <row r="11" spans="1:7" outlineLevel="3" x14ac:dyDescent="0.3">
      <c r="A11" s="1" t="s">
        <v>34</v>
      </c>
      <c r="B11" s="1" t="s">
        <v>32</v>
      </c>
      <c r="C11" s="1">
        <v>24</v>
      </c>
      <c r="D11" s="1">
        <v>26</v>
      </c>
      <c r="E11" s="1">
        <v>7</v>
      </c>
      <c r="F11" s="1">
        <v>10</v>
      </c>
      <c r="G11" s="1">
        <f t="shared" si="0"/>
        <v>67</v>
      </c>
    </row>
    <row r="12" spans="1:7" outlineLevel="2" x14ac:dyDescent="0.3">
      <c r="A12" s="1"/>
      <c r="B12" s="4" t="s">
        <v>104</v>
      </c>
      <c r="C12" s="1">
        <f>SUBTOTAL(4,C9:C11)</f>
        <v>36</v>
      </c>
      <c r="D12" s="1">
        <f>SUBTOTAL(4,D9:D11)</f>
        <v>37</v>
      </c>
      <c r="E12" s="1">
        <f>SUBTOTAL(4,E9:E11)</f>
        <v>9</v>
      </c>
      <c r="F12" s="1">
        <f>SUBTOTAL(4,F9:F11)</f>
        <v>10</v>
      </c>
      <c r="G12" s="1"/>
    </row>
    <row r="13" spans="1:7" outlineLevel="1" x14ac:dyDescent="0.3">
      <c r="A13" s="1"/>
      <c r="B13" s="4" t="s">
        <v>100</v>
      </c>
      <c r="C13" s="1"/>
      <c r="D13" s="1"/>
      <c r="E13" s="1"/>
      <c r="F13" s="1"/>
      <c r="G13" s="1">
        <f>SUBTOTAL(1,G9:G11)</f>
        <v>81.333333333333329</v>
      </c>
    </row>
    <row r="14" spans="1:7" outlineLevel="3" x14ac:dyDescent="0.3">
      <c r="A14" s="1" t="s">
        <v>35</v>
      </c>
      <c r="B14" s="1" t="s">
        <v>36</v>
      </c>
      <c r="C14" s="1">
        <v>30</v>
      </c>
      <c r="D14" s="1">
        <v>32</v>
      </c>
      <c r="E14" s="1">
        <v>10</v>
      </c>
      <c r="F14" s="1">
        <v>10</v>
      </c>
      <c r="G14" s="1">
        <f t="shared" si="0"/>
        <v>82</v>
      </c>
    </row>
    <row r="15" spans="1:7" outlineLevel="3" x14ac:dyDescent="0.3">
      <c r="A15" s="1" t="s">
        <v>37</v>
      </c>
      <c r="B15" s="1" t="s">
        <v>36</v>
      </c>
      <c r="C15" s="1">
        <v>21</v>
      </c>
      <c r="D15" s="1">
        <v>20</v>
      </c>
      <c r="E15" s="1">
        <v>8</v>
      </c>
      <c r="F15" s="1">
        <v>7</v>
      </c>
      <c r="G15" s="1">
        <f t="shared" si="0"/>
        <v>56</v>
      </c>
    </row>
    <row r="16" spans="1:7" outlineLevel="3" x14ac:dyDescent="0.3">
      <c r="A16" s="1" t="s">
        <v>38</v>
      </c>
      <c r="B16" s="1" t="s">
        <v>36</v>
      </c>
      <c r="C16" s="1">
        <v>38</v>
      </c>
      <c r="D16" s="1">
        <v>31</v>
      </c>
      <c r="E16" s="1">
        <v>6</v>
      </c>
      <c r="F16" s="1">
        <v>9</v>
      </c>
      <c r="G16" s="1">
        <f t="shared" si="0"/>
        <v>84</v>
      </c>
    </row>
    <row r="17" spans="1:7" outlineLevel="2" x14ac:dyDescent="0.3">
      <c r="A17" s="5"/>
      <c r="B17" s="6" t="s">
        <v>105</v>
      </c>
      <c r="C17" s="5">
        <f>SUBTOTAL(4,C14:C16)</f>
        <v>38</v>
      </c>
      <c r="D17" s="5">
        <f>SUBTOTAL(4,D14:D16)</f>
        <v>32</v>
      </c>
      <c r="E17" s="5">
        <f>SUBTOTAL(4,E14:E16)</f>
        <v>10</v>
      </c>
      <c r="F17" s="5">
        <f>SUBTOTAL(4,F14:F16)</f>
        <v>10</v>
      </c>
      <c r="G17" s="5"/>
    </row>
    <row r="18" spans="1:7" outlineLevel="1" x14ac:dyDescent="0.3">
      <c r="A18" s="5"/>
      <c r="B18" s="6" t="s">
        <v>101</v>
      </c>
      <c r="C18" s="5"/>
      <c r="D18" s="5"/>
      <c r="E18" s="5"/>
      <c r="F18" s="5"/>
      <c r="G18" s="5">
        <f>SUBTOTAL(1,G14:G16)</f>
        <v>74</v>
      </c>
    </row>
    <row r="19" spans="1:7" x14ac:dyDescent="0.3">
      <c r="A19" s="5"/>
      <c r="B19" s="6" t="s">
        <v>106</v>
      </c>
      <c r="C19" s="5">
        <f>SUBTOTAL(4,C4:C16)</f>
        <v>39</v>
      </c>
      <c r="D19" s="5">
        <f>SUBTOTAL(4,D4:D16)</f>
        <v>38</v>
      </c>
      <c r="E19" s="5">
        <f>SUBTOTAL(4,E4:E16)</f>
        <v>10</v>
      </c>
      <c r="F19" s="5">
        <f>SUBTOTAL(4,F4:F16)</f>
        <v>10</v>
      </c>
      <c r="G19" s="5"/>
    </row>
    <row r="20" spans="1:7" x14ac:dyDescent="0.3">
      <c r="A20" s="5"/>
      <c r="B20" s="6" t="s">
        <v>102</v>
      </c>
      <c r="C20" s="5"/>
      <c r="D20" s="5"/>
      <c r="E20" s="5"/>
      <c r="F20" s="5"/>
      <c r="G20" s="5">
        <f>SUBTOTAL(1,G4:G16)</f>
        <v>82.222222222222229</v>
      </c>
    </row>
  </sheetData>
  <sortState xmlns:xlrd2="http://schemas.microsoft.com/office/spreadsheetml/2017/richdata2" ref="A4:G16">
    <sortCondition ref="B4:B16"/>
  </sortState>
  <mergeCells count="1">
    <mergeCell ref="A1:G1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23"/>
  <sheetViews>
    <sheetView workbookViewId="0">
      <selection sqref="A1:G1"/>
    </sheetView>
  </sheetViews>
  <sheetFormatPr defaultRowHeight="16.5" outlineLevelRow="3" x14ac:dyDescent="0.3"/>
  <cols>
    <col min="1" max="1" width="13.25" bestFit="1" customWidth="1"/>
    <col min="5" max="7" width="10.625" bestFit="1" customWidth="1"/>
  </cols>
  <sheetData>
    <row r="1" spans="1:7" x14ac:dyDescent="0.3">
      <c r="A1" s="13" t="s">
        <v>39</v>
      </c>
      <c r="B1" s="13"/>
      <c r="C1" s="13"/>
      <c r="D1" s="13"/>
      <c r="E1" s="13"/>
      <c r="F1" s="13"/>
      <c r="G1" s="13"/>
    </row>
    <row r="3" spans="1:7" x14ac:dyDescent="0.3">
      <c r="A3" s="1" t="s">
        <v>40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G3" s="1" t="s">
        <v>46</v>
      </c>
    </row>
    <row r="4" spans="1:7" outlineLevel="3" x14ac:dyDescent="0.3">
      <c r="A4" s="1" t="s">
        <v>49</v>
      </c>
      <c r="B4" s="1" t="s">
        <v>50</v>
      </c>
      <c r="C4" s="1">
        <v>750</v>
      </c>
      <c r="D4" s="1">
        <v>90</v>
      </c>
      <c r="E4" s="2">
        <v>7875000</v>
      </c>
      <c r="F4" s="2">
        <v>945000</v>
      </c>
      <c r="G4" s="2">
        <f>E4-F4</f>
        <v>6930000</v>
      </c>
    </row>
    <row r="5" spans="1:7" outlineLevel="3" x14ac:dyDescent="0.3">
      <c r="A5" s="1" t="s">
        <v>49</v>
      </c>
      <c r="B5" s="1" t="s">
        <v>48</v>
      </c>
      <c r="C5" s="1">
        <v>550</v>
      </c>
      <c r="D5" s="1">
        <v>44</v>
      </c>
      <c r="E5" s="2">
        <v>6875000</v>
      </c>
      <c r="F5" s="2">
        <v>550000</v>
      </c>
      <c r="G5" s="2">
        <f>E5-F5</f>
        <v>6325000</v>
      </c>
    </row>
    <row r="6" spans="1:7" outlineLevel="3" x14ac:dyDescent="0.3">
      <c r="A6" s="1" t="s">
        <v>49</v>
      </c>
      <c r="B6" s="1" t="s">
        <v>52</v>
      </c>
      <c r="C6" s="1">
        <v>450</v>
      </c>
      <c r="D6" s="1">
        <v>27</v>
      </c>
      <c r="E6" s="2">
        <v>382500</v>
      </c>
      <c r="F6" s="2">
        <v>22950</v>
      </c>
      <c r="G6" s="2">
        <f>E6-F6</f>
        <v>359550</v>
      </c>
    </row>
    <row r="7" spans="1:7" outlineLevel="3" x14ac:dyDescent="0.3">
      <c r="A7" s="1" t="s">
        <v>49</v>
      </c>
      <c r="B7" s="1" t="s">
        <v>53</v>
      </c>
      <c r="C7" s="1">
        <v>500</v>
      </c>
      <c r="D7" s="1">
        <v>40</v>
      </c>
      <c r="E7" s="2">
        <v>6000000</v>
      </c>
      <c r="F7" s="2">
        <v>480000</v>
      </c>
      <c r="G7" s="2">
        <f>E7-F7</f>
        <v>5520000</v>
      </c>
    </row>
    <row r="8" spans="1:7" outlineLevel="2" x14ac:dyDescent="0.3">
      <c r="A8" s="4" t="s">
        <v>110</v>
      </c>
      <c r="B8" s="1"/>
      <c r="C8" s="1"/>
      <c r="D8" s="1"/>
      <c r="E8" s="2">
        <f>SUBTOTAL(1,E4:E7)</f>
        <v>5283125</v>
      </c>
      <c r="F8" s="2">
        <f>SUBTOTAL(1,F4:F7)</f>
        <v>499487.5</v>
      </c>
      <c r="G8" s="2">
        <f>SUBTOTAL(1,G4:G7)</f>
        <v>4783637.5</v>
      </c>
    </row>
    <row r="9" spans="1:7" outlineLevel="1" x14ac:dyDescent="0.3">
      <c r="A9" s="4" t="s">
        <v>107</v>
      </c>
      <c r="B9" s="1"/>
      <c r="C9" s="1">
        <f>SUBTOTAL(4,C4:C7)</f>
        <v>750</v>
      </c>
      <c r="D9" s="1"/>
      <c r="E9" s="2"/>
      <c r="F9" s="2"/>
      <c r="G9" s="2"/>
    </row>
    <row r="10" spans="1:7" outlineLevel="3" x14ac:dyDescent="0.3">
      <c r="A10" s="1" t="s">
        <v>51</v>
      </c>
      <c r="B10" s="1" t="s">
        <v>52</v>
      </c>
      <c r="C10" s="1">
        <v>600</v>
      </c>
      <c r="D10" s="1">
        <v>60</v>
      </c>
      <c r="E10" s="2">
        <v>510000</v>
      </c>
      <c r="F10" s="2">
        <v>51000</v>
      </c>
      <c r="G10" s="2">
        <f>E10-F10</f>
        <v>459000</v>
      </c>
    </row>
    <row r="11" spans="1:7" outlineLevel="3" x14ac:dyDescent="0.3">
      <c r="A11" s="1" t="s">
        <v>51</v>
      </c>
      <c r="B11" s="1" t="s">
        <v>48</v>
      </c>
      <c r="C11" s="1">
        <v>650</v>
      </c>
      <c r="D11" s="1">
        <v>76</v>
      </c>
      <c r="E11" s="2">
        <v>8125000</v>
      </c>
      <c r="F11" s="2">
        <v>950000</v>
      </c>
      <c r="G11" s="2">
        <f>E11-F11</f>
        <v>7175000</v>
      </c>
    </row>
    <row r="12" spans="1:7" outlineLevel="3" x14ac:dyDescent="0.3">
      <c r="A12" s="1" t="s">
        <v>51</v>
      </c>
      <c r="B12" s="1" t="s">
        <v>50</v>
      </c>
      <c r="C12" s="1">
        <v>400</v>
      </c>
      <c r="D12" s="1">
        <v>24</v>
      </c>
      <c r="E12" s="2">
        <v>4200000</v>
      </c>
      <c r="F12" s="2">
        <v>252000</v>
      </c>
      <c r="G12" s="2">
        <f>E12-F12</f>
        <v>3948000</v>
      </c>
    </row>
    <row r="13" spans="1:7" outlineLevel="3" x14ac:dyDescent="0.3">
      <c r="A13" s="1" t="s">
        <v>51</v>
      </c>
      <c r="B13" s="1" t="s">
        <v>53</v>
      </c>
      <c r="C13" s="1">
        <v>500</v>
      </c>
      <c r="D13" s="1">
        <v>40</v>
      </c>
      <c r="E13" s="2">
        <v>6000000</v>
      </c>
      <c r="F13" s="2">
        <v>480000</v>
      </c>
      <c r="G13" s="2">
        <f>E13-F13</f>
        <v>5520000</v>
      </c>
    </row>
    <row r="14" spans="1:7" outlineLevel="2" x14ac:dyDescent="0.3">
      <c r="A14" s="4" t="s">
        <v>111</v>
      </c>
      <c r="B14" s="1"/>
      <c r="C14" s="1"/>
      <c r="D14" s="1"/>
      <c r="E14" s="2">
        <f>SUBTOTAL(1,E10:E13)</f>
        <v>4708750</v>
      </c>
      <c r="F14" s="2">
        <f>SUBTOTAL(1,F10:F13)</f>
        <v>433250</v>
      </c>
      <c r="G14" s="2">
        <f>SUBTOTAL(1,G10:G13)</f>
        <v>4275500</v>
      </c>
    </row>
    <row r="15" spans="1:7" outlineLevel="1" x14ac:dyDescent="0.3">
      <c r="A15" s="4" t="s">
        <v>108</v>
      </c>
      <c r="B15" s="1"/>
      <c r="C15" s="1">
        <f>SUBTOTAL(4,C10:C13)</f>
        <v>650</v>
      </c>
      <c r="D15" s="1"/>
      <c r="E15" s="2"/>
      <c r="F15" s="2"/>
      <c r="G15" s="2"/>
    </row>
    <row r="16" spans="1:7" outlineLevel="3" x14ac:dyDescent="0.3">
      <c r="A16" s="1" t="s">
        <v>47</v>
      </c>
      <c r="B16" s="1" t="s">
        <v>48</v>
      </c>
      <c r="C16" s="1">
        <v>450</v>
      </c>
      <c r="D16" s="1">
        <v>27</v>
      </c>
      <c r="E16" s="2">
        <v>5625000</v>
      </c>
      <c r="F16" s="2">
        <v>337500</v>
      </c>
      <c r="G16" s="2">
        <f>E16-F16</f>
        <v>5287500</v>
      </c>
    </row>
    <row r="17" spans="1:7" outlineLevel="3" x14ac:dyDescent="0.3">
      <c r="A17" s="1" t="s">
        <v>47</v>
      </c>
      <c r="B17" s="1" t="s">
        <v>50</v>
      </c>
      <c r="C17" s="1">
        <v>550</v>
      </c>
      <c r="D17" s="1">
        <v>44</v>
      </c>
      <c r="E17" s="2">
        <v>5775000</v>
      </c>
      <c r="F17" s="2">
        <v>462000</v>
      </c>
      <c r="G17" s="2">
        <f>E17-F17</f>
        <v>5313000</v>
      </c>
    </row>
    <row r="18" spans="1:7" outlineLevel="3" x14ac:dyDescent="0.3">
      <c r="A18" s="1" t="s">
        <v>47</v>
      </c>
      <c r="B18" s="1" t="s">
        <v>52</v>
      </c>
      <c r="C18" s="1">
        <v>550</v>
      </c>
      <c r="D18" s="1">
        <v>44</v>
      </c>
      <c r="E18" s="2">
        <v>467500</v>
      </c>
      <c r="F18" s="2">
        <v>37400</v>
      </c>
      <c r="G18" s="2">
        <f>E18-F18</f>
        <v>430100</v>
      </c>
    </row>
    <row r="19" spans="1:7" outlineLevel="3" x14ac:dyDescent="0.3">
      <c r="A19" s="1" t="s">
        <v>47</v>
      </c>
      <c r="B19" s="1" t="s">
        <v>53</v>
      </c>
      <c r="C19" s="1">
        <v>700</v>
      </c>
      <c r="D19" s="1">
        <v>84</v>
      </c>
      <c r="E19" s="2">
        <v>8400000</v>
      </c>
      <c r="F19" s="2">
        <v>1008000</v>
      </c>
      <c r="G19" s="2">
        <f>E19-F19</f>
        <v>7392000</v>
      </c>
    </row>
    <row r="20" spans="1:7" outlineLevel="2" x14ac:dyDescent="0.3">
      <c r="A20" s="6" t="s">
        <v>112</v>
      </c>
      <c r="B20" s="5"/>
      <c r="C20" s="5"/>
      <c r="D20" s="5"/>
      <c r="E20" s="7">
        <f>SUBTOTAL(1,E16:E19)</f>
        <v>5066875</v>
      </c>
      <c r="F20" s="7">
        <f>SUBTOTAL(1,F16:F19)</f>
        <v>461225</v>
      </c>
      <c r="G20" s="7">
        <f>SUBTOTAL(1,G16:G19)</f>
        <v>4605650</v>
      </c>
    </row>
    <row r="21" spans="1:7" outlineLevel="1" x14ac:dyDescent="0.3">
      <c r="A21" s="6" t="s">
        <v>109</v>
      </c>
      <c r="B21" s="5"/>
      <c r="C21" s="5">
        <f>SUBTOTAL(4,C16:C19)</f>
        <v>700</v>
      </c>
      <c r="D21" s="5"/>
      <c r="E21" s="7"/>
      <c r="F21" s="7"/>
      <c r="G21" s="7"/>
    </row>
    <row r="22" spans="1:7" x14ac:dyDescent="0.3">
      <c r="A22" s="6" t="s">
        <v>102</v>
      </c>
      <c r="B22" s="5"/>
      <c r="C22" s="5"/>
      <c r="D22" s="5"/>
      <c r="E22" s="7">
        <f>SUBTOTAL(1,E4:E19)</f>
        <v>5019583.333333333</v>
      </c>
      <c r="F22" s="7">
        <f>SUBTOTAL(1,F4:F19)</f>
        <v>464654.16666666669</v>
      </c>
      <c r="G22" s="7">
        <f>SUBTOTAL(1,G4:G19)</f>
        <v>4554929.166666667</v>
      </c>
    </row>
    <row r="23" spans="1:7" x14ac:dyDescent="0.3">
      <c r="A23" s="6" t="s">
        <v>106</v>
      </c>
      <c r="B23" s="5"/>
      <c r="C23" s="5">
        <f>SUBTOTAL(4,C4:C19)</f>
        <v>750</v>
      </c>
      <c r="D23" s="5"/>
      <c r="E23" s="7"/>
      <c r="F23" s="7"/>
      <c r="G23" s="7"/>
    </row>
  </sheetData>
  <sortState xmlns:xlrd2="http://schemas.microsoft.com/office/spreadsheetml/2017/richdata2" ref="A4:G19">
    <sortCondition descending="1" ref="A4:A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E98FF-6A78-4AF5-A773-4E79B2CD3D97}">
  <sheetPr>
    <tabColor theme="7" tint="0.59999389629810485"/>
  </sheetPr>
  <dimension ref="A1:G23"/>
  <sheetViews>
    <sheetView workbookViewId="0">
      <selection sqref="A1:G1"/>
    </sheetView>
  </sheetViews>
  <sheetFormatPr defaultRowHeight="16.5" outlineLevelRow="3" x14ac:dyDescent="0.3"/>
  <sheetData>
    <row r="1" spans="1:7" x14ac:dyDescent="0.3">
      <c r="A1" s="13" t="s">
        <v>54</v>
      </c>
      <c r="B1" s="13"/>
      <c r="C1" s="13"/>
      <c r="D1" s="13"/>
      <c r="E1" s="13"/>
      <c r="F1" s="13"/>
      <c r="G1" s="13"/>
    </row>
    <row r="3" spans="1:7" x14ac:dyDescent="0.3">
      <c r="A3" s="1" t="s">
        <v>55</v>
      </c>
      <c r="B3" s="1" t="s">
        <v>56</v>
      </c>
      <c r="C3" s="1" t="s">
        <v>57</v>
      </c>
      <c r="D3" s="1" t="s">
        <v>58</v>
      </c>
      <c r="E3" s="1" t="s">
        <v>59</v>
      </c>
      <c r="F3" s="1" t="s">
        <v>60</v>
      </c>
      <c r="G3" s="1" t="s">
        <v>61</v>
      </c>
    </row>
    <row r="4" spans="1:7" outlineLevel="3" x14ac:dyDescent="0.3">
      <c r="A4" s="1" t="s">
        <v>62</v>
      </c>
      <c r="B4" s="1">
        <v>1</v>
      </c>
      <c r="C4" s="1">
        <v>97</v>
      </c>
      <c r="D4" s="1">
        <v>95</v>
      </c>
      <c r="E4" s="1">
        <v>93</v>
      </c>
      <c r="F4" s="1">
        <v>285</v>
      </c>
      <c r="G4" s="3">
        <v>95</v>
      </c>
    </row>
    <row r="5" spans="1:7" outlineLevel="3" x14ac:dyDescent="0.3">
      <c r="A5" s="1" t="s">
        <v>64</v>
      </c>
      <c r="B5" s="1">
        <v>1</v>
      </c>
      <c r="C5" s="1">
        <v>91</v>
      </c>
      <c r="D5" s="1">
        <v>87</v>
      </c>
      <c r="E5" s="1">
        <v>92</v>
      </c>
      <c r="F5" s="1">
        <v>270</v>
      </c>
      <c r="G5" s="3">
        <v>90</v>
      </c>
    </row>
    <row r="6" spans="1:7" outlineLevel="3" x14ac:dyDescent="0.3">
      <c r="A6" s="1" t="s">
        <v>65</v>
      </c>
      <c r="B6" s="1">
        <v>1</v>
      </c>
      <c r="C6" s="1">
        <v>86</v>
      </c>
      <c r="D6" s="1">
        <v>90</v>
      </c>
      <c r="E6" s="1">
        <v>93</v>
      </c>
      <c r="F6" s="1">
        <v>269</v>
      </c>
      <c r="G6" s="3">
        <v>89.666666666666671</v>
      </c>
    </row>
    <row r="7" spans="1:7" outlineLevel="3" x14ac:dyDescent="0.3">
      <c r="A7" s="1" t="s">
        <v>68</v>
      </c>
      <c r="B7" s="1">
        <v>1</v>
      </c>
      <c r="C7" s="1">
        <v>58</v>
      </c>
      <c r="D7" s="1">
        <v>61</v>
      </c>
      <c r="E7" s="1">
        <v>55</v>
      </c>
      <c r="F7" s="1">
        <v>174</v>
      </c>
      <c r="G7" s="3">
        <v>58</v>
      </c>
    </row>
    <row r="8" spans="1:7" outlineLevel="2" x14ac:dyDescent="0.3">
      <c r="A8" s="1"/>
      <c r="B8" s="4" t="s">
        <v>117</v>
      </c>
      <c r="C8" s="9">
        <f>SUBTOTAL(1,C4:C7)</f>
        <v>83</v>
      </c>
      <c r="D8" s="9">
        <f>SUBTOTAL(1,D4:D7)</f>
        <v>83.25</v>
      </c>
      <c r="E8" s="9">
        <f>SUBTOTAL(1,E4:E7)</f>
        <v>83.25</v>
      </c>
      <c r="F8" s="1"/>
      <c r="G8" s="3"/>
    </row>
    <row r="9" spans="1:7" outlineLevel="1" x14ac:dyDescent="0.3">
      <c r="A9" s="1"/>
      <c r="B9" s="4" t="s">
        <v>113</v>
      </c>
      <c r="C9" s="1">
        <f>SUBTOTAL(9,C4:C7)</f>
        <v>332</v>
      </c>
      <c r="D9" s="1">
        <f>SUBTOTAL(9,D4:D7)</f>
        <v>333</v>
      </c>
      <c r="E9" s="1">
        <f>SUBTOTAL(9,E4:E7)</f>
        <v>333</v>
      </c>
      <c r="F9" s="1"/>
      <c r="G9" s="3"/>
    </row>
    <row r="10" spans="1:7" outlineLevel="3" x14ac:dyDescent="0.3">
      <c r="A10" s="1" t="s">
        <v>63</v>
      </c>
      <c r="B10" s="1">
        <v>2</v>
      </c>
      <c r="C10" s="1">
        <v>86</v>
      </c>
      <c r="D10" s="1">
        <v>89</v>
      </c>
      <c r="E10" s="1">
        <v>91</v>
      </c>
      <c r="F10" s="1">
        <v>266</v>
      </c>
      <c r="G10" s="3">
        <v>88.666666666666671</v>
      </c>
    </row>
    <row r="11" spans="1:7" outlineLevel="3" x14ac:dyDescent="0.3">
      <c r="A11" s="1" t="s">
        <v>66</v>
      </c>
      <c r="B11" s="1">
        <v>2</v>
      </c>
      <c r="C11" s="1">
        <v>76</v>
      </c>
      <c r="D11" s="1">
        <v>73</v>
      </c>
      <c r="E11" s="1">
        <v>91</v>
      </c>
      <c r="F11" s="1">
        <v>240</v>
      </c>
      <c r="G11" s="3">
        <v>80</v>
      </c>
    </row>
    <row r="12" spans="1:7" outlineLevel="3" x14ac:dyDescent="0.3">
      <c r="A12" s="1" t="s">
        <v>67</v>
      </c>
      <c r="B12" s="1">
        <v>2</v>
      </c>
      <c r="C12" s="1">
        <v>64</v>
      </c>
      <c r="D12" s="1">
        <v>66</v>
      </c>
      <c r="E12" s="1">
        <v>57</v>
      </c>
      <c r="F12" s="1">
        <v>187</v>
      </c>
      <c r="G12" s="3">
        <v>62.333333333333336</v>
      </c>
    </row>
    <row r="13" spans="1:7" outlineLevel="3" x14ac:dyDescent="0.3">
      <c r="A13" s="1" t="s">
        <v>73</v>
      </c>
      <c r="B13" s="1">
        <v>2</v>
      </c>
      <c r="C13" s="1">
        <v>94</v>
      </c>
      <c r="D13" s="1">
        <v>95</v>
      </c>
      <c r="E13" s="1">
        <v>97</v>
      </c>
      <c r="F13" s="1">
        <v>286</v>
      </c>
      <c r="G13" s="3">
        <v>95.333333333333329</v>
      </c>
    </row>
    <row r="14" spans="1:7" outlineLevel="2" x14ac:dyDescent="0.3">
      <c r="A14" s="1"/>
      <c r="B14" s="4" t="s">
        <v>118</v>
      </c>
      <c r="C14" s="9">
        <f>SUBTOTAL(1,C10:C13)</f>
        <v>80</v>
      </c>
      <c r="D14" s="9">
        <f>SUBTOTAL(1,D10:D13)</f>
        <v>80.75</v>
      </c>
      <c r="E14" s="9">
        <f>SUBTOTAL(1,E10:E13)</f>
        <v>84</v>
      </c>
      <c r="F14" s="1"/>
      <c r="G14" s="3"/>
    </row>
    <row r="15" spans="1:7" outlineLevel="1" x14ac:dyDescent="0.3">
      <c r="A15" s="1"/>
      <c r="B15" s="4" t="s">
        <v>114</v>
      </c>
      <c r="C15" s="1">
        <f>SUBTOTAL(9,C10:C13)</f>
        <v>320</v>
      </c>
      <c r="D15" s="1">
        <f>SUBTOTAL(9,D10:D13)</f>
        <v>323</v>
      </c>
      <c r="E15" s="1">
        <f>SUBTOTAL(9,E10:E13)</f>
        <v>336</v>
      </c>
      <c r="F15" s="1"/>
      <c r="G15" s="3"/>
    </row>
    <row r="16" spans="1:7" outlineLevel="3" x14ac:dyDescent="0.3">
      <c r="A16" s="1" t="s">
        <v>69</v>
      </c>
      <c r="B16" s="1">
        <v>3</v>
      </c>
      <c r="C16" s="1">
        <v>67</v>
      </c>
      <c r="D16" s="1">
        <v>63</v>
      </c>
      <c r="E16" s="1">
        <v>72</v>
      </c>
      <c r="F16" s="1">
        <v>202</v>
      </c>
      <c r="G16" s="3">
        <v>67.333333333333329</v>
      </c>
    </row>
    <row r="17" spans="1:7" outlineLevel="3" x14ac:dyDescent="0.3">
      <c r="A17" s="1" t="s">
        <v>70</v>
      </c>
      <c r="B17" s="1">
        <v>3</v>
      </c>
      <c r="C17" s="1">
        <v>86</v>
      </c>
      <c r="D17" s="1">
        <v>85</v>
      </c>
      <c r="E17" s="1">
        <v>90</v>
      </c>
      <c r="F17" s="1">
        <v>261</v>
      </c>
      <c r="G17" s="3">
        <v>87</v>
      </c>
    </row>
    <row r="18" spans="1:7" outlineLevel="3" x14ac:dyDescent="0.3">
      <c r="A18" s="1" t="s">
        <v>71</v>
      </c>
      <c r="B18" s="1">
        <v>3</v>
      </c>
      <c r="C18" s="1">
        <v>79</v>
      </c>
      <c r="D18" s="1">
        <v>81</v>
      </c>
      <c r="E18" s="1">
        <v>83</v>
      </c>
      <c r="F18" s="1">
        <v>243</v>
      </c>
      <c r="G18" s="3">
        <v>81</v>
      </c>
    </row>
    <row r="19" spans="1:7" outlineLevel="3" x14ac:dyDescent="0.3">
      <c r="A19" s="1" t="s">
        <v>72</v>
      </c>
      <c r="B19" s="1">
        <v>3</v>
      </c>
      <c r="C19" s="1">
        <v>82</v>
      </c>
      <c r="D19" s="1">
        <v>81</v>
      </c>
      <c r="E19" s="1">
        <v>76</v>
      </c>
      <c r="F19" s="1">
        <v>239</v>
      </c>
      <c r="G19" s="3">
        <v>79.666666666666671</v>
      </c>
    </row>
    <row r="20" spans="1:7" outlineLevel="2" x14ac:dyDescent="0.3">
      <c r="A20" s="5"/>
      <c r="B20" s="6" t="s">
        <v>119</v>
      </c>
      <c r="C20" s="10">
        <f>SUBTOTAL(1,C16:C19)</f>
        <v>78.5</v>
      </c>
      <c r="D20" s="10">
        <f>SUBTOTAL(1,D16:D19)</f>
        <v>77.5</v>
      </c>
      <c r="E20" s="10">
        <f>SUBTOTAL(1,E16:E19)</f>
        <v>80.25</v>
      </c>
      <c r="F20" s="5"/>
      <c r="G20" s="8"/>
    </row>
    <row r="21" spans="1:7" outlineLevel="1" x14ac:dyDescent="0.3">
      <c r="A21" s="5"/>
      <c r="B21" s="6" t="s">
        <v>115</v>
      </c>
      <c r="C21" s="5">
        <f>SUBTOTAL(9,C16:C19)</f>
        <v>314</v>
      </c>
      <c r="D21" s="5">
        <f>SUBTOTAL(9,D16:D19)</f>
        <v>310</v>
      </c>
      <c r="E21" s="5">
        <f>SUBTOTAL(9,E16:E19)</f>
        <v>321</v>
      </c>
      <c r="F21" s="5"/>
      <c r="G21" s="8"/>
    </row>
    <row r="22" spans="1:7" x14ac:dyDescent="0.3">
      <c r="A22" s="5"/>
      <c r="B22" s="6" t="s">
        <v>102</v>
      </c>
      <c r="C22" s="10">
        <f>SUBTOTAL(1,C4:C19)</f>
        <v>80.5</v>
      </c>
      <c r="D22" s="10">
        <f>SUBTOTAL(1,D4:D19)</f>
        <v>80.5</v>
      </c>
      <c r="E22" s="10">
        <f>SUBTOTAL(1,E4:E19)</f>
        <v>82.5</v>
      </c>
      <c r="F22" s="5"/>
      <c r="G22" s="8"/>
    </row>
    <row r="23" spans="1:7" x14ac:dyDescent="0.3">
      <c r="A23" s="5"/>
      <c r="B23" s="6" t="s">
        <v>116</v>
      </c>
      <c r="C23" s="5">
        <f>SUBTOTAL(9,C4:C19)</f>
        <v>966</v>
      </c>
      <c r="D23" s="5">
        <f>SUBTOTAL(9,D4:D19)</f>
        <v>966</v>
      </c>
      <c r="E23" s="5">
        <f>SUBTOTAL(9,E4:E19)</f>
        <v>990</v>
      </c>
      <c r="F23" s="5"/>
      <c r="G23" s="8"/>
    </row>
  </sheetData>
  <sortState xmlns:xlrd2="http://schemas.microsoft.com/office/spreadsheetml/2017/richdata2" ref="A4:G19">
    <sortCondition ref="B4:B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5E0F1-F030-497B-9353-CCAF6BD3A5EB}">
  <sheetPr>
    <tabColor theme="7" tint="0.59999389629810485"/>
  </sheetPr>
  <dimension ref="A1:G26"/>
  <sheetViews>
    <sheetView tabSelected="1" workbookViewId="0">
      <selection activeCell="B13" sqref="B13"/>
    </sheetView>
  </sheetViews>
  <sheetFormatPr defaultRowHeight="16.5" outlineLevelRow="3" x14ac:dyDescent="0.3"/>
  <cols>
    <col min="1" max="1" width="11" bestFit="1" customWidth="1"/>
    <col min="2" max="2" width="12.875" bestFit="1" customWidth="1"/>
    <col min="3" max="3" width="11.25" bestFit="1" customWidth="1"/>
    <col min="4" max="4" width="11" bestFit="1" customWidth="1"/>
    <col min="5" max="5" width="10.625" bestFit="1" customWidth="1"/>
    <col min="6" max="6" width="9.375" bestFit="1" customWidth="1"/>
    <col min="7" max="7" width="12.875" bestFit="1" customWidth="1"/>
  </cols>
  <sheetData>
    <row r="1" spans="1:7" x14ac:dyDescent="0.3">
      <c r="A1" s="13" t="s">
        <v>74</v>
      </c>
      <c r="B1" s="13"/>
      <c r="C1" s="13"/>
      <c r="D1" s="13"/>
      <c r="E1" s="13"/>
      <c r="F1" s="13"/>
      <c r="G1" s="13"/>
    </row>
    <row r="3" spans="1:7" x14ac:dyDescent="0.3">
      <c r="A3" s="11" t="s">
        <v>75</v>
      </c>
      <c r="B3" s="11" t="s">
        <v>76</v>
      </c>
      <c r="C3" s="11" t="s">
        <v>77</v>
      </c>
      <c r="D3" s="11" t="s">
        <v>78</v>
      </c>
      <c r="E3" s="11" t="s">
        <v>79</v>
      </c>
      <c r="F3" s="11" t="s">
        <v>80</v>
      </c>
      <c r="G3" s="11" t="s">
        <v>81</v>
      </c>
    </row>
    <row r="4" spans="1:7" outlineLevel="3" x14ac:dyDescent="0.3">
      <c r="A4" s="1" t="s">
        <v>89</v>
      </c>
      <c r="B4" s="1" t="s">
        <v>90</v>
      </c>
      <c r="C4" s="1" t="s">
        <v>84</v>
      </c>
      <c r="D4" s="2">
        <v>2550000</v>
      </c>
      <c r="E4" s="2">
        <v>768000</v>
      </c>
      <c r="F4" s="2">
        <f>(D4+E4)*16%</f>
        <v>530880</v>
      </c>
      <c r="G4" s="2">
        <f>D4+E4-F4</f>
        <v>2787120</v>
      </c>
    </row>
    <row r="5" spans="1:7" outlineLevel="3" x14ac:dyDescent="0.3">
      <c r="A5" s="1" t="s">
        <v>98</v>
      </c>
      <c r="B5" s="1" t="s">
        <v>90</v>
      </c>
      <c r="C5" s="1" t="s">
        <v>84</v>
      </c>
      <c r="D5" s="2">
        <v>2600000</v>
      </c>
      <c r="E5" s="2">
        <v>1212000</v>
      </c>
      <c r="F5" s="2">
        <f>(D5+E5)*16%</f>
        <v>609920</v>
      </c>
      <c r="G5" s="2">
        <f>D5+E5-F5</f>
        <v>3202080</v>
      </c>
    </row>
    <row r="6" spans="1:7" outlineLevel="2" x14ac:dyDescent="0.3">
      <c r="A6" s="1"/>
      <c r="B6" s="1"/>
      <c r="C6" s="4" t="s">
        <v>123</v>
      </c>
      <c r="D6" s="2"/>
      <c r="E6" s="2">
        <f>SUBTOTAL(5,E4:E5)</f>
        <v>768000</v>
      </c>
      <c r="F6" s="2"/>
      <c r="G6" s="2"/>
    </row>
    <row r="7" spans="1:7" outlineLevel="3" x14ac:dyDescent="0.3">
      <c r="A7" s="1" t="s">
        <v>92</v>
      </c>
      <c r="B7" s="1" t="s">
        <v>90</v>
      </c>
      <c r="C7" s="1" t="s">
        <v>86</v>
      </c>
      <c r="D7" s="2">
        <v>2150000</v>
      </c>
      <c r="E7" s="2">
        <v>975000</v>
      </c>
      <c r="F7" s="2">
        <f>(D7+E7)*16%</f>
        <v>500000</v>
      </c>
      <c r="G7" s="2">
        <f>D7+E7-F7</f>
        <v>2625000</v>
      </c>
    </row>
    <row r="8" spans="1:7" outlineLevel="3" x14ac:dyDescent="0.3">
      <c r="A8" s="1" t="s">
        <v>96</v>
      </c>
      <c r="B8" s="1" t="s">
        <v>90</v>
      </c>
      <c r="C8" s="1" t="s">
        <v>86</v>
      </c>
      <c r="D8" s="2">
        <v>2100000</v>
      </c>
      <c r="E8" s="2">
        <v>886000</v>
      </c>
      <c r="F8" s="2">
        <f>(D8+E8)*16%</f>
        <v>477760</v>
      </c>
      <c r="G8" s="2">
        <f>D8+E8-F8</f>
        <v>2508240</v>
      </c>
    </row>
    <row r="9" spans="1:7" outlineLevel="2" x14ac:dyDescent="0.3">
      <c r="A9" s="1"/>
      <c r="B9" s="1"/>
      <c r="C9" s="4" t="s">
        <v>124</v>
      </c>
      <c r="D9" s="2"/>
      <c r="E9" s="2">
        <f>SUBTOTAL(5,E7:E8)</f>
        <v>886000</v>
      </c>
      <c r="F9" s="2"/>
      <c r="G9" s="2"/>
    </row>
    <row r="10" spans="1:7" outlineLevel="1" x14ac:dyDescent="0.3">
      <c r="A10" s="1"/>
      <c r="B10" s="12" t="s">
        <v>120</v>
      </c>
      <c r="C10" s="1"/>
      <c r="D10" s="2"/>
      <c r="E10" s="2"/>
      <c r="F10" s="2"/>
      <c r="G10" s="2">
        <f>SUBTOTAL(4,G4:G8)</f>
        <v>3202080</v>
      </c>
    </row>
    <row r="11" spans="1:7" outlineLevel="3" x14ac:dyDescent="0.3">
      <c r="A11" s="1" t="s">
        <v>91</v>
      </c>
      <c r="B11" s="1" t="s">
        <v>88</v>
      </c>
      <c r="C11" s="1" t="s">
        <v>84</v>
      </c>
      <c r="D11" s="2">
        <v>2550000</v>
      </c>
      <c r="E11" s="2">
        <v>924000</v>
      </c>
      <c r="F11" s="2">
        <f>(D11+E11)*16%</f>
        <v>555840</v>
      </c>
      <c r="G11" s="2">
        <f>D11+E11-F11</f>
        <v>2918160</v>
      </c>
    </row>
    <row r="12" spans="1:7" outlineLevel="3" x14ac:dyDescent="0.3">
      <c r="A12" s="1" t="s">
        <v>95</v>
      </c>
      <c r="B12" s="1" t="s">
        <v>88</v>
      </c>
      <c r="C12" s="1" t="s">
        <v>84</v>
      </c>
      <c r="D12" s="2">
        <v>2600000</v>
      </c>
      <c r="E12" s="2">
        <v>1245000</v>
      </c>
      <c r="F12" s="2">
        <f>(D12+E12)*16%</f>
        <v>615200</v>
      </c>
      <c r="G12" s="2">
        <f>D12+E12-F12</f>
        <v>3229800</v>
      </c>
    </row>
    <row r="13" spans="1:7" outlineLevel="2" x14ac:dyDescent="0.3">
      <c r="A13" s="1"/>
      <c r="B13" s="1"/>
      <c r="C13" s="4" t="s">
        <v>123</v>
      </c>
      <c r="D13" s="2"/>
      <c r="E13" s="2">
        <f>SUBTOTAL(5,E11:E12)</f>
        <v>924000</v>
      </c>
      <c r="F13" s="2"/>
      <c r="G13" s="2"/>
    </row>
    <row r="14" spans="1:7" outlineLevel="3" x14ac:dyDescent="0.3">
      <c r="A14" s="1" t="s">
        <v>87</v>
      </c>
      <c r="B14" s="1" t="s">
        <v>88</v>
      </c>
      <c r="C14" s="1" t="s">
        <v>86</v>
      </c>
      <c r="D14" s="2">
        <v>2100000</v>
      </c>
      <c r="E14" s="2">
        <v>1035000</v>
      </c>
      <c r="F14" s="2">
        <f>(D14+E14)*16%</f>
        <v>501600</v>
      </c>
      <c r="G14" s="2">
        <f>D14+E14-F14</f>
        <v>2633400</v>
      </c>
    </row>
    <row r="15" spans="1:7" outlineLevel="3" x14ac:dyDescent="0.3">
      <c r="A15" s="1" t="s">
        <v>94</v>
      </c>
      <c r="B15" s="1" t="s">
        <v>88</v>
      </c>
      <c r="C15" s="1" t="s">
        <v>86</v>
      </c>
      <c r="D15" s="2">
        <v>2050000</v>
      </c>
      <c r="E15" s="2">
        <v>894000</v>
      </c>
      <c r="F15" s="2">
        <f>(D15+E15)*16%</f>
        <v>471040</v>
      </c>
      <c r="G15" s="2">
        <f>D15+E15-F15</f>
        <v>2472960</v>
      </c>
    </row>
    <row r="16" spans="1:7" outlineLevel="2" x14ac:dyDescent="0.3">
      <c r="A16" s="1"/>
      <c r="B16" s="1"/>
      <c r="C16" s="4" t="s">
        <v>124</v>
      </c>
      <c r="D16" s="2"/>
      <c r="E16" s="2">
        <f>SUBTOTAL(5,E14:E15)</f>
        <v>894000</v>
      </c>
      <c r="F16" s="2"/>
      <c r="G16" s="2"/>
    </row>
    <row r="17" spans="1:7" outlineLevel="1" x14ac:dyDescent="0.3">
      <c r="A17" s="1"/>
      <c r="B17" s="4" t="s">
        <v>121</v>
      </c>
      <c r="C17" s="1"/>
      <c r="D17" s="2"/>
      <c r="E17" s="2"/>
      <c r="F17" s="2"/>
      <c r="G17" s="2">
        <f>SUBTOTAL(4,G11:G15)</f>
        <v>3229800</v>
      </c>
    </row>
    <row r="18" spans="1:7" outlineLevel="3" x14ac:dyDescent="0.3">
      <c r="A18" s="1" t="s">
        <v>82</v>
      </c>
      <c r="B18" s="1" t="s">
        <v>83</v>
      </c>
      <c r="C18" s="1" t="s">
        <v>84</v>
      </c>
      <c r="D18" s="2">
        <v>2600000</v>
      </c>
      <c r="E18" s="2">
        <v>1168000</v>
      </c>
      <c r="F18" s="2">
        <f>(D18+E18)*16%</f>
        <v>602880</v>
      </c>
      <c r="G18" s="2">
        <f>D18+E18-F18</f>
        <v>3165120</v>
      </c>
    </row>
    <row r="19" spans="1:7" outlineLevel="3" x14ac:dyDescent="0.3">
      <c r="A19" s="1" t="s">
        <v>97</v>
      </c>
      <c r="B19" s="1" t="s">
        <v>83</v>
      </c>
      <c r="C19" s="1" t="s">
        <v>84</v>
      </c>
      <c r="D19" s="2">
        <v>2650000</v>
      </c>
      <c r="E19" s="2">
        <v>795000</v>
      </c>
      <c r="F19" s="2">
        <f>(D19+E19)*16%</f>
        <v>551200</v>
      </c>
      <c r="G19" s="2">
        <f>D19+E19-F19</f>
        <v>2893800</v>
      </c>
    </row>
    <row r="20" spans="1:7" outlineLevel="2" x14ac:dyDescent="0.3">
      <c r="A20" s="1"/>
      <c r="B20" s="1"/>
      <c r="C20" s="4" t="s">
        <v>123</v>
      </c>
      <c r="D20" s="2"/>
      <c r="E20" s="2">
        <f>SUBTOTAL(5,E18:E19)</f>
        <v>795000</v>
      </c>
      <c r="F20" s="2"/>
      <c r="G20" s="2"/>
    </row>
    <row r="21" spans="1:7" outlineLevel="3" x14ac:dyDescent="0.3">
      <c r="A21" s="1" t="s">
        <v>85</v>
      </c>
      <c r="B21" s="1" t="s">
        <v>83</v>
      </c>
      <c r="C21" s="1" t="s">
        <v>86</v>
      </c>
      <c r="D21" s="2">
        <v>2050000</v>
      </c>
      <c r="E21" s="2">
        <v>863000</v>
      </c>
      <c r="F21" s="2">
        <f>(D21+E21)*16%</f>
        <v>466080</v>
      </c>
      <c r="G21" s="2">
        <f>D21+E21-F21</f>
        <v>2446920</v>
      </c>
    </row>
    <row r="22" spans="1:7" outlineLevel="3" x14ac:dyDescent="0.3">
      <c r="A22" s="1" t="s">
        <v>93</v>
      </c>
      <c r="B22" s="1" t="s">
        <v>83</v>
      </c>
      <c r="C22" s="1" t="s">
        <v>86</v>
      </c>
      <c r="D22" s="2">
        <v>2150000</v>
      </c>
      <c r="E22" s="2">
        <v>1005000</v>
      </c>
      <c r="F22" s="2">
        <f>(D22+E22)*16%</f>
        <v>504800</v>
      </c>
      <c r="G22" s="2">
        <f>D22+E22-F22</f>
        <v>2650200</v>
      </c>
    </row>
    <row r="23" spans="1:7" outlineLevel="2" x14ac:dyDescent="0.3">
      <c r="A23" s="5"/>
      <c r="B23" s="5"/>
      <c r="C23" s="6" t="s">
        <v>124</v>
      </c>
      <c r="D23" s="7"/>
      <c r="E23" s="7">
        <f>SUBTOTAL(5,E21:E22)</f>
        <v>863000</v>
      </c>
      <c r="F23" s="7"/>
      <c r="G23" s="7"/>
    </row>
    <row r="24" spans="1:7" outlineLevel="1" x14ac:dyDescent="0.3">
      <c r="A24" s="5"/>
      <c r="B24" s="6" t="s">
        <v>122</v>
      </c>
      <c r="C24" s="5"/>
      <c r="D24" s="7"/>
      <c r="E24" s="7"/>
      <c r="F24" s="7"/>
      <c r="G24" s="7">
        <f>SUBTOTAL(4,G18:G22)</f>
        <v>3165120</v>
      </c>
    </row>
    <row r="25" spans="1:7" x14ac:dyDescent="0.3">
      <c r="A25" s="5"/>
      <c r="B25" s="6"/>
      <c r="C25" s="6" t="s">
        <v>125</v>
      </c>
      <c r="D25" s="7"/>
      <c r="E25" s="7">
        <f>SUBTOTAL(5,E4:E22)</f>
        <v>768000</v>
      </c>
      <c r="F25" s="7"/>
      <c r="G25" s="7"/>
    </row>
    <row r="26" spans="1:7" x14ac:dyDescent="0.3">
      <c r="A26" s="5"/>
      <c r="B26" s="6" t="s">
        <v>106</v>
      </c>
      <c r="C26" s="5"/>
      <c r="D26" s="7"/>
      <c r="E26" s="7"/>
      <c r="F26" s="7"/>
      <c r="G26" s="7">
        <f>SUBTOTAL(4,G4:G22)</f>
        <v>3229800</v>
      </c>
    </row>
  </sheetData>
  <sortState xmlns:xlrd2="http://schemas.microsoft.com/office/spreadsheetml/2017/richdata2" ref="A4:G22">
    <sortCondition descending="1" ref="B4:B22"/>
    <sortCondition ref="C4:C22"/>
  </sortState>
  <mergeCells count="1">
    <mergeCell ref="A1:G1"/>
  </mergeCells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</vt:lpstr>
      <vt:lpstr>02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2025-12-05T10:33:17Z</dcterms:modified>
</cp:coreProperties>
</file>