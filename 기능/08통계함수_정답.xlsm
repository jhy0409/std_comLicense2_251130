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defaultThemeVersion="166925"/>
  <mc:AlternateContent xmlns:mc="http://schemas.openxmlformats.org/markup-compatibility/2006">
    <mc:Choice Requires="x15">
      <x15ac:absPath xmlns:x15ac="http://schemas.microsoft.com/office/spreadsheetml/2010/11/ac" url="E:\1_작업중\컴활2급_251130\기능\"/>
    </mc:Choice>
  </mc:AlternateContent>
  <xr:revisionPtr revIDLastSave="0" documentId="13_ncr:1_{FCD70639-0BC0-4F60-8853-2BABB5EA4846}" xr6:coauthVersionLast="47" xr6:coauthVersionMax="47" xr10:uidLastSave="{00000000-0000-0000-0000-000000000000}"/>
  <bookViews>
    <workbookView xWindow="11175" yWindow="3735" windowWidth="14460" windowHeight="11325" tabRatio="926" activeTab="1" xr2:uid="{1EA7D4BC-0E71-467A-81F4-8371BAA0CFDB}"/>
  </bookViews>
  <sheets>
    <sheet name="출제유형_01_유형1" sheetId="6" r:id="rId1"/>
    <sheet name="02_유형1~2" sheetId="8" r:id="rId2"/>
    <sheet name="03_유형1" sheetId="9" r:id="rId3"/>
    <sheet name="04_유형1" sheetId="11" r:id="rId4"/>
    <sheet name="05_유형1" sheetId="20" r:id="rId5"/>
    <sheet name="06_유형1~2" sheetId="23" r:id="rId6"/>
    <sheet name="07_유형1" sheetId="22" r:id="rId7"/>
    <sheet name="08_유형1" sheetId="21" r:id="rId8"/>
    <sheet name="09_유형1" sheetId="26" r:id="rId9"/>
    <sheet name="10_유형1" sheetId="27" r:id="rId10"/>
    <sheet name="대표기출문제_기출1~6" sheetId="1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1" i="1" l="1"/>
  <c r="D7" i="27"/>
  <c r="D7" i="6"/>
  <c r="J28" i="1" l="1"/>
  <c r="J29" i="1"/>
  <c r="J30" i="1"/>
  <c r="J31" i="1"/>
  <c r="J32" i="1"/>
  <c r="J33" i="1"/>
  <c r="J34" i="1"/>
  <c r="J35" i="1"/>
  <c r="J27" i="1"/>
  <c r="D35" i="1"/>
  <c r="J23" i="1"/>
  <c r="D23" i="1"/>
  <c r="I11" i="1"/>
  <c r="D4" i="26"/>
  <c r="D5" i="26"/>
  <c r="D6" i="26"/>
  <c r="D7" i="26"/>
  <c r="D3" i="26"/>
  <c r="E3" i="23"/>
  <c r="D4" i="23"/>
  <c r="D5" i="23"/>
  <c r="D6" i="23"/>
  <c r="D7" i="23"/>
  <c r="D3" i="23"/>
  <c r="D4" i="22"/>
  <c r="D5" i="22"/>
  <c r="D6" i="22"/>
  <c r="D7" i="22"/>
  <c r="D3" i="22"/>
  <c r="E7" i="21"/>
  <c r="D4" i="20"/>
  <c r="E4" i="20"/>
  <c r="D5" i="20"/>
  <c r="E5" i="20"/>
  <c r="D6" i="20"/>
  <c r="E6" i="20"/>
  <c r="D7" i="20"/>
  <c r="E7" i="20"/>
  <c r="E3" i="20"/>
  <c r="D3" i="20"/>
  <c r="D7" i="11"/>
  <c r="E8" i="9"/>
  <c r="D10" i="8"/>
  <c r="D9" i="8"/>
</calcChain>
</file>

<file path=xl/sharedStrings.xml><?xml version="1.0" encoding="utf-8"?>
<sst xmlns="http://schemas.openxmlformats.org/spreadsheetml/2006/main" count="297" uniqueCount="189">
  <si>
    <t>[표1]</t>
  </si>
  <si>
    <t>지점</t>
  </si>
  <si>
    <t>생산량</t>
  </si>
  <si>
    <t>불량률</t>
  </si>
  <si>
    <t>공정개수</t>
  </si>
  <si>
    <t>마포</t>
  </si>
  <si>
    <t>성북</t>
  </si>
  <si>
    <t>금천</t>
  </si>
  <si>
    <t>종로</t>
  </si>
  <si>
    <t>사원코드</t>
  </si>
  <si>
    <t>성별</t>
  </si>
  <si>
    <t>부서명</t>
  </si>
  <si>
    <t>판매량</t>
  </si>
  <si>
    <t>SG001</t>
  </si>
  <si>
    <t>남</t>
  </si>
  <si>
    <t>영업1부</t>
  </si>
  <si>
    <t>SG002</t>
  </si>
  <si>
    <t>영업2부</t>
  </si>
  <si>
    <t>SG003</t>
  </si>
  <si>
    <t>여</t>
  </si>
  <si>
    <t>SG004</t>
  </si>
  <si>
    <t>SG005</t>
  </si>
  <si>
    <t>SG006</t>
  </si>
  <si>
    <t>우수 남사원 수</t>
  </si>
  <si>
    <t>영업2부 우수사원 수</t>
  </si>
  <si>
    <t>사원명</t>
  </si>
  <si>
    <t>직위</t>
  </si>
  <si>
    <t>노영찬</t>
  </si>
  <si>
    <t xml:space="preserve"> 남 </t>
  </si>
  <si>
    <t>영업1팀</t>
  </si>
  <si>
    <t>대리</t>
  </si>
  <si>
    <t>한혜연</t>
  </si>
  <si>
    <t xml:space="preserve"> 여 </t>
  </si>
  <si>
    <t>영업2팀</t>
  </si>
  <si>
    <t>과장</t>
  </si>
  <si>
    <t>김장우</t>
  </si>
  <si>
    <t>최시현</t>
  </si>
  <si>
    <t>사원</t>
  </si>
  <si>
    <t>이주원</t>
  </si>
  <si>
    <t>영업2팀 평균 판매량</t>
  </si>
  <si>
    <t>전반기</t>
  </si>
  <si>
    <t>후반기</t>
  </si>
  <si>
    <t>총판매량</t>
  </si>
  <si>
    <t>김태균</t>
  </si>
  <si>
    <t>정미화</t>
  </si>
  <si>
    <t>최은주</t>
  </si>
  <si>
    <t>이동건</t>
  </si>
  <si>
    <t>우수사원 총판매량 평균</t>
  </si>
  <si>
    <t>학생명</t>
  </si>
  <si>
    <t>1학기</t>
  </si>
  <si>
    <t>2학기</t>
  </si>
  <si>
    <t>출석1</t>
  </si>
  <si>
    <t>출석2</t>
  </si>
  <si>
    <t>문세윤</t>
  </si>
  <si>
    <t>O</t>
  </si>
  <si>
    <t>이소원</t>
  </si>
  <si>
    <t>정찬우</t>
  </si>
  <si>
    <t>정미애</t>
  </si>
  <si>
    <t>강해진</t>
  </si>
  <si>
    <t>성명</t>
  </si>
  <si>
    <t>국어</t>
  </si>
  <si>
    <t>영어</t>
  </si>
  <si>
    <t>수학</t>
  </si>
  <si>
    <t>평균</t>
  </si>
  <si>
    <t>김영상</t>
  </si>
  <si>
    <t>손지현</t>
  </si>
  <si>
    <t>유혜란</t>
  </si>
  <si>
    <t>이석준</t>
  </si>
  <si>
    <t>평균 표준편차</t>
  </si>
  <si>
    <t>결과</t>
  </si>
  <si>
    <t>김상현</t>
  </si>
  <si>
    <t>박수지</t>
  </si>
  <si>
    <t>조현주</t>
  </si>
  <si>
    <t>강원정</t>
  </si>
  <si>
    <t>김한순</t>
  </si>
  <si>
    <t>100m(초)</t>
  </si>
  <si>
    <t>이름</t>
  </si>
  <si>
    <t>2등</t>
  </si>
  <si>
    <t>강하늘</t>
  </si>
  <si>
    <t>임석민</t>
  </si>
  <si>
    <t>유미주</t>
  </si>
  <si>
    <t>최성완</t>
  </si>
  <si>
    <t>이서현</t>
  </si>
  <si>
    <t>지점명</t>
  </si>
  <si>
    <t>마포점</t>
  </si>
  <si>
    <t>강남점</t>
  </si>
  <si>
    <t>용품코드</t>
  </si>
  <si>
    <t>판매총액</t>
  </si>
  <si>
    <t>비고</t>
  </si>
  <si>
    <t>EYS-1-1</t>
  </si>
  <si>
    <t>EYS-1-2</t>
  </si>
  <si>
    <t>EYS-1-3</t>
  </si>
  <si>
    <t>EYS-1-4</t>
  </si>
  <si>
    <t>EYS-1-5</t>
  </si>
  <si>
    <t>[표4]</t>
  </si>
  <si>
    <t>일반</t>
  </si>
  <si>
    <t>프리미엄</t>
  </si>
  <si>
    <t>영업사원 실적표</t>
  </si>
  <si>
    <t>[표2]</t>
  </si>
  <si>
    <t>1학년 성적표</t>
  </si>
  <si>
    <t>반</t>
  </si>
  <si>
    <t>총점</t>
  </si>
  <si>
    <t>조우재</t>
  </si>
  <si>
    <t>차연재</t>
  </si>
  <si>
    <t>박하선</t>
  </si>
  <si>
    <t>정성원</t>
  </si>
  <si>
    <t>강수현</t>
  </si>
  <si>
    <t>조현우</t>
  </si>
  <si>
    <t>장수영</t>
  </si>
  <si>
    <t>한찬혁</t>
  </si>
  <si>
    <t>강규진</t>
  </si>
  <si>
    <t>문설영</t>
  </si>
  <si>
    <t>최윤성</t>
  </si>
  <si>
    <t>영업3부</t>
  </si>
  <si>
    <t>김민현</t>
  </si>
  <si>
    <t>유진석</t>
  </si>
  <si>
    <t>손주현</t>
  </si>
  <si>
    <t>김선웅</t>
  </si>
  <si>
    <t>이나영</t>
  </si>
  <si>
    <t>성적우수자 수</t>
  </si>
  <si>
    <t>[표3]</t>
  </si>
  <si>
    <t>자동차 수입현황</t>
  </si>
  <si>
    <t>피자 판매현황</t>
  </si>
  <si>
    <t>수입일자</t>
  </si>
  <si>
    <t>구분</t>
  </si>
  <si>
    <t>수입국</t>
  </si>
  <si>
    <t>수입량</t>
  </si>
  <si>
    <t>피자명</t>
  </si>
  <si>
    <t>판매가</t>
  </si>
  <si>
    <t>5월4일</t>
  </si>
  <si>
    <t>세단</t>
  </si>
  <si>
    <t>독일</t>
  </si>
  <si>
    <t>페페로니</t>
  </si>
  <si>
    <t>SUV</t>
  </si>
  <si>
    <t>프랑스</t>
  </si>
  <si>
    <t>판타지</t>
  </si>
  <si>
    <t>5월29일</t>
  </si>
  <si>
    <t>트럭</t>
  </si>
  <si>
    <t>미국</t>
  </si>
  <si>
    <t>사이드</t>
  </si>
  <si>
    <t>핫윙</t>
  </si>
  <si>
    <t>밴</t>
  </si>
  <si>
    <t>이탈리아</t>
  </si>
  <si>
    <t>치즈</t>
  </si>
  <si>
    <t>컨버터블</t>
  </si>
  <si>
    <t>토핑킹</t>
  </si>
  <si>
    <t>6월18일</t>
  </si>
  <si>
    <t>불고기</t>
  </si>
  <si>
    <t>더블치즈</t>
  </si>
  <si>
    <t>고기폭판</t>
  </si>
  <si>
    <t>세단 수입량 평균</t>
  </si>
  <si>
    <t>조건을 만족하는 평균</t>
  </si>
  <si>
    <t>[표5]</t>
  </si>
  <si>
    <t>제품재고량</t>
  </si>
  <si>
    <t>[표6]</t>
  </si>
  <si>
    <t>사무용품 판매현황</t>
  </si>
  <si>
    <t>입고량</t>
  </si>
  <si>
    <t>재고량</t>
  </si>
  <si>
    <t>용품명</t>
  </si>
  <si>
    <t>총판매액</t>
  </si>
  <si>
    <t>주문</t>
  </si>
  <si>
    <t>관악점</t>
  </si>
  <si>
    <t>가위</t>
  </si>
  <si>
    <t>볼펜</t>
  </si>
  <si>
    <t>송파점</t>
  </si>
  <si>
    <t>자</t>
  </si>
  <si>
    <t>강동점</t>
  </si>
  <si>
    <t>테이프</t>
  </si>
  <si>
    <t>중랑점</t>
  </si>
  <si>
    <t>포스트잇</t>
  </si>
  <si>
    <t>양천점</t>
  </si>
  <si>
    <t>커터칼</t>
  </si>
  <si>
    <t>형광펜</t>
  </si>
  <si>
    <t>서초</t>
  </si>
  <si>
    <t>보드마카</t>
  </si>
  <si>
    <t>재고량 차이</t>
  </si>
  <si>
    <t>A4용지</t>
  </si>
  <si>
    <t>[표1]</t>
    <phoneticPr fontId="1" type="noConversion"/>
  </si>
  <si>
    <t>생산량이 500 이상인 비율</t>
    <phoneticPr fontId="1" type="noConversion"/>
  </si>
  <si>
    <t>고객코드</t>
  </si>
  <si>
    <t>등급</t>
  </si>
  <si>
    <t>구매횟수</t>
  </si>
  <si>
    <t>구매총액</t>
  </si>
  <si>
    <t>CT-1-01</t>
  </si>
  <si>
    <t>CT-1-02</t>
  </si>
  <si>
    <t>CT-1-03</t>
  </si>
  <si>
    <t>CT-1-04</t>
  </si>
  <si>
    <t>구매횟수 빈도가 가장 높은 고객 수</t>
    <phoneticPr fontId="1" type="noConversion"/>
  </si>
  <si>
    <t>총판매량 7000 이상인 비율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</si>
</sst>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0" fillId="0" borderId="1" xfId="0" applyFill="1" applyBorder="1" applyAlignment="1">
      <alignment horizontal="center" vertical="center"/>
    </xf>
    <xf numFmtId="9" fontId="0" fillId="0" borderId="1" xfId="2" applyFont="1" applyBorder="1" applyAlignment="1">
      <alignment horizontal="center" vertical="center"/>
    </xf>
    <xf numFmtId="0" fontId="0" fillId="0" borderId="1" xfId="1" applyNumberFormat="1" applyFont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6AACF-E355-4D8E-B511-605B19A8AFF8}">
  <dimension ref="A1:D7"/>
  <sheetViews>
    <sheetView workbookViewId="0">
      <selection activeCell="I2" sqref="I2"/>
    </sheetView>
  </sheetViews>
  <sheetFormatPr defaultRowHeight="16.5" x14ac:dyDescent="0.3"/>
  <sheetData>
    <row r="1" spans="1:4" x14ac:dyDescent="0.3">
      <c r="A1" s="1" t="s">
        <v>0</v>
      </c>
    </row>
    <row r="2" spans="1:4" x14ac:dyDescent="0.3">
      <c r="A2" s="2" t="s">
        <v>1</v>
      </c>
      <c r="B2" s="2" t="s">
        <v>2</v>
      </c>
      <c r="C2" s="2" t="s">
        <v>3</v>
      </c>
      <c r="D2" s="2" t="s">
        <v>4</v>
      </c>
    </row>
    <row r="3" spans="1:4" x14ac:dyDescent="0.3">
      <c r="A3" s="2" t="s">
        <v>5</v>
      </c>
      <c r="B3" s="2">
        <v>500</v>
      </c>
      <c r="C3" s="2">
        <v>15</v>
      </c>
      <c r="D3" s="2">
        <v>2</v>
      </c>
    </row>
    <row r="4" spans="1:4" x14ac:dyDescent="0.3">
      <c r="A4" s="2" t="s">
        <v>6</v>
      </c>
      <c r="B4" s="2">
        <v>450</v>
      </c>
      <c r="C4" s="2">
        <v>24</v>
      </c>
      <c r="D4" s="2">
        <v>1</v>
      </c>
    </row>
    <row r="5" spans="1:4" x14ac:dyDescent="0.3">
      <c r="A5" s="2" t="s">
        <v>7</v>
      </c>
      <c r="B5" s="2">
        <v>500</v>
      </c>
      <c r="C5" s="2">
        <v>17</v>
      </c>
      <c r="D5" s="2">
        <v>0</v>
      </c>
    </row>
    <row r="6" spans="1:4" x14ac:dyDescent="0.3">
      <c r="A6" s="2" t="s">
        <v>8</v>
      </c>
      <c r="B6" s="2">
        <v>600</v>
      </c>
      <c r="C6" s="2">
        <v>9</v>
      </c>
      <c r="D6" s="2">
        <v>2</v>
      </c>
    </row>
    <row r="7" spans="1:4" x14ac:dyDescent="0.3">
      <c r="A7" s="10" t="s">
        <v>178</v>
      </c>
      <c r="B7" s="11"/>
      <c r="C7" s="12"/>
      <c r="D7" s="8">
        <f>COUNTIF(B3:B6,"&gt;=500")/COUNT(B3:B6)</f>
        <v>0.75</v>
      </c>
    </row>
  </sheetData>
  <mergeCells count="1">
    <mergeCell ref="A7:C7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9A614-667B-44CD-8B2D-4ABB39BFBDB8}">
  <dimension ref="A1:D10"/>
  <sheetViews>
    <sheetView tabSelected="1" workbookViewId="0">
      <selection activeCell="D10" sqref="D10"/>
    </sheetView>
  </sheetViews>
  <sheetFormatPr defaultRowHeight="16.5" x14ac:dyDescent="0.3"/>
  <sheetData>
    <row r="1" spans="1:4" x14ac:dyDescent="0.3">
      <c r="A1" s="1" t="s">
        <v>0</v>
      </c>
    </row>
    <row r="2" spans="1:4" x14ac:dyDescent="0.3">
      <c r="A2" s="2" t="s">
        <v>9</v>
      </c>
      <c r="B2" s="2" t="s">
        <v>10</v>
      </c>
      <c r="C2" s="2" t="s">
        <v>11</v>
      </c>
      <c r="D2" s="2" t="s">
        <v>12</v>
      </c>
    </row>
    <row r="3" spans="1:4" x14ac:dyDescent="0.3">
      <c r="A3" s="2" t="s">
        <v>13</v>
      </c>
      <c r="B3" s="2" t="s">
        <v>14</v>
      </c>
      <c r="C3" s="2" t="s">
        <v>15</v>
      </c>
      <c r="D3" s="2">
        <v>135</v>
      </c>
    </row>
    <row r="4" spans="1:4" x14ac:dyDescent="0.3">
      <c r="A4" s="2" t="s">
        <v>16</v>
      </c>
      <c r="B4" s="2" t="s">
        <v>14</v>
      </c>
      <c r="C4" s="2" t="s">
        <v>17</v>
      </c>
      <c r="D4" s="2">
        <v>174</v>
      </c>
    </row>
    <row r="5" spans="1:4" x14ac:dyDescent="0.3">
      <c r="A5" s="2" t="s">
        <v>18</v>
      </c>
      <c r="B5" s="2" t="s">
        <v>19</v>
      </c>
      <c r="C5" s="2" t="s">
        <v>15</v>
      </c>
      <c r="D5" s="2">
        <v>158</v>
      </c>
    </row>
    <row r="6" spans="1:4" x14ac:dyDescent="0.3">
      <c r="A6" s="2" t="s">
        <v>20</v>
      </c>
      <c r="B6" s="2" t="s">
        <v>19</v>
      </c>
      <c r="C6" s="2" t="s">
        <v>17</v>
      </c>
      <c r="D6" s="2">
        <v>109</v>
      </c>
    </row>
    <row r="7" spans="1:4" x14ac:dyDescent="0.3">
      <c r="A7" s="2" t="s">
        <v>21</v>
      </c>
      <c r="B7" s="2" t="s">
        <v>14</v>
      </c>
      <c r="C7" s="2" t="s">
        <v>17</v>
      </c>
      <c r="D7" s="2">
        <v>161</v>
      </c>
    </row>
    <row r="8" spans="1:4" x14ac:dyDescent="0.3">
      <c r="A8" s="2" t="s">
        <v>22</v>
      </c>
      <c r="B8" s="2" t="s">
        <v>19</v>
      </c>
      <c r="C8" s="2" t="s">
        <v>15</v>
      </c>
      <c r="D8" s="2">
        <v>142</v>
      </c>
    </row>
    <row r="9" spans="1:4" x14ac:dyDescent="0.3">
      <c r="A9" s="10" t="s">
        <v>23</v>
      </c>
      <c r="B9" s="11"/>
      <c r="C9" s="12"/>
      <c r="D9" s="2">
        <f>COUNTIFS(B3:B8,"남",D3:D8,"&gt;=150")</f>
        <v>2</v>
      </c>
    </row>
    <row r="10" spans="1:4" x14ac:dyDescent="0.3">
      <c r="A10" s="10" t="s">
        <v>24</v>
      </c>
      <c r="B10" s="11"/>
      <c r="C10" s="12"/>
      <c r="D10" s="2">
        <f>COUNTIFS(C3:C8,"영업2부",D3:D8,"&gt;="&amp;AVERAGE(D3:D8))</f>
        <v>2</v>
      </c>
    </row>
  </sheetData>
  <mergeCells count="2">
    <mergeCell ref="A10:C10"/>
    <mergeCell ref="A9:C9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64150-8B18-486F-AC6A-8CD7EF31C2DA}">
  <dimension ref="A1:E8"/>
  <sheetViews>
    <sheetView workbookViewId="0"/>
  </sheetViews>
  <sheetFormatPr defaultRowHeight="16.5" x14ac:dyDescent="0.3"/>
  <sheetData>
    <row r="1" spans="1:5" x14ac:dyDescent="0.3">
      <c r="A1" s="1" t="s">
        <v>0</v>
      </c>
    </row>
    <row r="2" spans="1:5" x14ac:dyDescent="0.3">
      <c r="A2" s="2" t="s">
        <v>25</v>
      </c>
      <c r="B2" s="2" t="s">
        <v>10</v>
      </c>
      <c r="C2" s="2" t="s">
        <v>11</v>
      </c>
      <c r="D2" s="2" t="s">
        <v>26</v>
      </c>
      <c r="E2" s="2" t="s">
        <v>12</v>
      </c>
    </row>
    <row r="3" spans="1:5" x14ac:dyDescent="0.3">
      <c r="A3" s="2" t="s">
        <v>27</v>
      </c>
      <c r="B3" s="2" t="s">
        <v>28</v>
      </c>
      <c r="C3" s="2" t="s">
        <v>29</v>
      </c>
      <c r="D3" s="2" t="s">
        <v>30</v>
      </c>
      <c r="E3" s="2">
        <v>144</v>
      </c>
    </row>
    <row r="4" spans="1:5" x14ac:dyDescent="0.3">
      <c r="A4" s="2" t="s">
        <v>31</v>
      </c>
      <c r="B4" s="2" t="s">
        <v>32</v>
      </c>
      <c r="C4" s="2" t="s">
        <v>33</v>
      </c>
      <c r="D4" s="2" t="s">
        <v>34</v>
      </c>
      <c r="E4" s="2">
        <v>113</v>
      </c>
    </row>
    <row r="5" spans="1:5" x14ac:dyDescent="0.3">
      <c r="A5" s="2" t="s">
        <v>35</v>
      </c>
      <c r="B5" s="2" t="s">
        <v>28</v>
      </c>
      <c r="C5" s="2" t="s">
        <v>33</v>
      </c>
      <c r="D5" s="2" t="s">
        <v>30</v>
      </c>
      <c r="E5" s="2">
        <v>159</v>
      </c>
    </row>
    <row r="6" spans="1:5" x14ac:dyDescent="0.3">
      <c r="A6" s="2" t="s">
        <v>36</v>
      </c>
      <c r="B6" s="2" t="s">
        <v>32</v>
      </c>
      <c r="C6" s="2" t="s">
        <v>29</v>
      </c>
      <c r="D6" s="2" t="s">
        <v>37</v>
      </c>
      <c r="E6" s="2">
        <v>136</v>
      </c>
    </row>
    <row r="7" spans="1:5" x14ac:dyDescent="0.3">
      <c r="A7" s="2" t="s">
        <v>38</v>
      </c>
      <c r="B7" s="2" t="s">
        <v>32</v>
      </c>
      <c r="C7" s="2" t="s">
        <v>33</v>
      </c>
      <c r="D7" s="2" t="s">
        <v>37</v>
      </c>
      <c r="E7" s="2">
        <v>108</v>
      </c>
    </row>
    <row r="8" spans="1:5" x14ac:dyDescent="0.3">
      <c r="A8" s="10" t="s">
        <v>39</v>
      </c>
      <c r="B8" s="11"/>
      <c r="C8" s="11"/>
      <c r="D8" s="12"/>
      <c r="E8" s="2">
        <f>TRUNC(AVERAGEIF(C3:C7,"영업2팀",E3:E7),1)</f>
        <v>126.6</v>
      </c>
    </row>
  </sheetData>
  <mergeCells count="1">
    <mergeCell ref="A8:D8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CC430-A293-4880-B64F-8EE21D75BC50}">
  <dimension ref="A1:D7"/>
  <sheetViews>
    <sheetView workbookViewId="0"/>
  </sheetViews>
  <sheetFormatPr defaultRowHeight="16.5" x14ac:dyDescent="0.3"/>
  <sheetData>
    <row r="1" spans="1:4" x14ac:dyDescent="0.3">
      <c r="A1" s="1" t="s">
        <v>0</v>
      </c>
    </row>
    <row r="2" spans="1:4" x14ac:dyDescent="0.3">
      <c r="A2" s="2" t="s">
        <v>25</v>
      </c>
      <c r="B2" s="2" t="s">
        <v>40</v>
      </c>
      <c r="C2" s="2" t="s">
        <v>41</v>
      </c>
      <c r="D2" s="2" t="s">
        <v>42</v>
      </c>
    </row>
    <row r="3" spans="1:4" x14ac:dyDescent="0.3">
      <c r="A3" s="2" t="s">
        <v>43</v>
      </c>
      <c r="B3" s="2">
        <v>88</v>
      </c>
      <c r="C3" s="2">
        <v>216</v>
      </c>
      <c r="D3" s="2">
        <v>304</v>
      </c>
    </row>
    <row r="4" spans="1:4" x14ac:dyDescent="0.3">
      <c r="A4" s="2" t="s">
        <v>44</v>
      </c>
      <c r="B4" s="2">
        <v>179</v>
      </c>
      <c r="C4" s="2">
        <v>294</v>
      </c>
      <c r="D4" s="2">
        <v>473</v>
      </c>
    </row>
    <row r="5" spans="1:4" x14ac:dyDescent="0.3">
      <c r="A5" s="2" t="s">
        <v>45</v>
      </c>
      <c r="B5" s="2">
        <v>123</v>
      </c>
      <c r="C5" s="2">
        <v>198</v>
      </c>
      <c r="D5" s="2">
        <v>321</v>
      </c>
    </row>
    <row r="6" spans="1:4" x14ac:dyDescent="0.3">
      <c r="A6" s="2" t="s">
        <v>46</v>
      </c>
      <c r="B6" s="2">
        <v>162</v>
      </c>
      <c r="C6" s="2">
        <v>257</v>
      </c>
      <c r="D6" s="2">
        <v>419</v>
      </c>
    </row>
    <row r="7" spans="1:4" x14ac:dyDescent="0.3">
      <c r="A7" s="10" t="s">
        <v>47</v>
      </c>
      <c r="B7" s="11"/>
      <c r="C7" s="12"/>
      <c r="D7" s="2">
        <f>AVERAGEIFS(D3:D6,B3:B6,"&gt;=100",C3:C6,"&gt;=200")</f>
        <v>446</v>
      </c>
    </row>
  </sheetData>
  <mergeCells count="1">
    <mergeCell ref="A7:C7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72A46-90CE-4464-AA46-329FBD273D41}">
  <dimension ref="A1:E7"/>
  <sheetViews>
    <sheetView workbookViewId="0"/>
  </sheetViews>
  <sheetFormatPr defaultRowHeight="16.5" x14ac:dyDescent="0.3"/>
  <sheetData>
    <row r="1" spans="1:5" x14ac:dyDescent="0.3">
      <c r="A1" s="1" t="s">
        <v>0</v>
      </c>
    </row>
    <row r="2" spans="1:5" x14ac:dyDescent="0.3">
      <c r="A2" s="2" t="s">
        <v>48</v>
      </c>
      <c r="B2" s="2" t="s">
        <v>49</v>
      </c>
      <c r="C2" s="2" t="s">
        <v>50</v>
      </c>
      <c r="D2" s="7" t="s">
        <v>51</v>
      </c>
      <c r="E2" s="3" t="s">
        <v>52</v>
      </c>
    </row>
    <row r="3" spans="1:5" x14ac:dyDescent="0.3">
      <c r="A3" s="2" t="s">
        <v>53</v>
      </c>
      <c r="B3" s="2" t="s">
        <v>54</v>
      </c>
      <c r="C3" s="2" t="s">
        <v>54</v>
      </c>
      <c r="D3" s="2" t="str">
        <f>IF(COUNTA(B3:C3)=2,"개근","")</f>
        <v>개근</v>
      </c>
      <c r="E3" s="2" t="str">
        <f>CHOOSE(COUNTA(B3:C3),"결석","개근")</f>
        <v>개근</v>
      </c>
    </row>
    <row r="4" spans="1:5" x14ac:dyDescent="0.3">
      <c r="A4" s="2" t="s">
        <v>55</v>
      </c>
      <c r="B4" s="2" t="s">
        <v>54</v>
      </c>
      <c r="C4" s="2"/>
      <c r="D4" s="2" t="str">
        <f t="shared" ref="D4:D7" si="0">IF(COUNTA(B4:C4)=2,"개근","")</f>
        <v/>
      </c>
      <c r="E4" s="2" t="str">
        <f t="shared" ref="E4:E7" si="1">CHOOSE(COUNTA(B4:C4),"결석","개근")</f>
        <v>결석</v>
      </c>
    </row>
    <row r="5" spans="1:5" x14ac:dyDescent="0.3">
      <c r="A5" s="2" t="s">
        <v>56</v>
      </c>
      <c r="B5" s="2" t="s">
        <v>54</v>
      </c>
      <c r="C5" s="2" t="s">
        <v>54</v>
      </c>
      <c r="D5" s="2" t="str">
        <f t="shared" si="0"/>
        <v>개근</v>
      </c>
      <c r="E5" s="2" t="str">
        <f t="shared" si="1"/>
        <v>개근</v>
      </c>
    </row>
    <row r="6" spans="1:5" x14ac:dyDescent="0.3">
      <c r="A6" s="2" t="s">
        <v>57</v>
      </c>
      <c r="B6" s="2"/>
      <c r="C6" s="2" t="s">
        <v>54</v>
      </c>
      <c r="D6" s="2" t="str">
        <f t="shared" si="0"/>
        <v/>
      </c>
      <c r="E6" s="2" t="str">
        <f t="shared" si="1"/>
        <v>결석</v>
      </c>
    </row>
    <row r="7" spans="1:5" x14ac:dyDescent="0.3">
      <c r="A7" s="2" t="s">
        <v>58</v>
      </c>
      <c r="B7" s="2" t="s">
        <v>54</v>
      </c>
      <c r="C7" s="2" t="s">
        <v>54</v>
      </c>
      <c r="D7" s="2" t="str">
        <f t="shared" si="0"/>
        <v>개근</v>
      </c>
      <c r="E7" s="2" t="str">
        <f t="shared" si="1"/>
        <v>개근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22D8E-B710-402F-912B-5B324EC7D7BD}">
  <dimension ref="A1:E7"/>
  <sheetViews>
    <sheetView workbookViewId="0"/>
  </sheetViews>
  <sheetFormatPr defaultRowHeight="16.5" x14ac:dyDescent="0.3"/>
  <sheetData>
    <row r="1" spans="1:5" x14ac:dyDescent="0.3">
      <c r="A1" s="1" t="s">
        <v>0</v>
      </c>
    </row>
    <row r="2" spans="1:5" x14ac:dyDescent="0.3">
      <c r="A2" s="2" t="s">
        <v>75</v>
      </c>
      <c r="B2" s="2" t="s">
        <v>76</v>
      </c>
      <c r="C2" s="2" t="s">
        <v>10</v>
      </c>
      <c r="D2" s="3" t="s">
        <v>69</v>
      </c>
      <c r="E2" s="3" t="s">
        <v>77</v>
      </c>
    </row>
    <row r="3" spans="1:5" x14ac:dyDescent="0.3">
      <c r="A3" s="2">
        <v>14.8</v>
      </c>
      <c r="B3" s="2" t="s">
        <v>78</v>
      </c>
      <c r="C3" s="2" t="s">
        <v>14</v>
      </c>
      <c r="D3" s="2" t="str">
        <f>IF(SMALL($A$3:$A$7,1)=A3,"1등","")</f>
        <v/>
      </c>
      <c r="E3" s="2" t="str">
        <f>VLOOKUP(SMALL(A3:A7,2),A3:B7,2,FALSE)</f>
        <v>임석민</v>
      </c>
    </row>
    <row r="4" spans="1:5" x14ac:dyDescent="0.3">
      <c r="A4" s="2">
        <v>15.7</v>
      </c>
      <c r="B4" s="2" t="s">
        <v>80</v>
      </c>
      <c r="C4" s="2" t="s">
        <v>19</v>
      </c>
      <c r="D4" s="2" t="str">
        <f t="shared" ref="D4:D7" si="0">IF(SMALL($A$3:$A$7,1)=A4,"1등","")</f>
        <v/>
      </c>
    </row>
    <row r="5" spans="1:5" x14ac:dyDescent="0.3">
      <c r="A5" s="2">
        <v>14.3</v>
      </c>
      <c r="B5" s="2" t="s">
        <v>81</v>
      </c>
      <c r="C5" s="2" t="s">
        <v>14</v>
      </c>
      <c r="D5" s="2" t="str">
        <f t="shared" si="0"/>
        <v>1등</v>
      </c>
    </row>
    <row r="6" spans="1:5" x14ac:dyDescent="0.3">
      <c r="A6" s="2">
        <v>15.2</v>
      </c>
      <c r="B6" s="2" t="s">
        <v>82</v>
      </c>
      <c r="C6" s="2" t="s">
        <v>19</v>
      </c>
      <c r="D6" s="2" t="str">
        <f t="shared" si="0"/>
        <v/>
      </c>
    </row>
    <row r="7" spans="1:5" x14ac:dyDescent="0.3">
      <c r="A7" s="2">
        <v>14.5</v>
      </c>
      <c r="B7" s="2" t="s">
        <v>79</v>
      </c>
      <c r="C7" s="2" t="s">
        <v>14</v>
      </c>
      <c r="D7" s="2" t="str">
        <f t="shared" si="0"/>
        <v/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6294BE-12AC-4DF6-82FD-B0690C4EF7D3}">
  <dimension ref="A1:D7"/>
  <sheetViews>
    <sheetView workbookViewId="0"/>
  </sheetViews>
  <sheetFormatPr defaultRowHeight="16.5" x14ac:dyDescent="0.3"/>
  <sheetData>
    <row r="1" spans="1:4" x14ac:dyDescent="0.3">
      <c r="A1" s="1" t="s">
        <v>0</v>
      </c>
    </row>
    <row r="2" spans="1:4" x14ac:dyDescent="0.3">
      <c r="A2" s="2" t="s">
        <v>25</v>
      </c>
      <c r="B2" s="2" t="s">
        <v>26</v>
      </c>
      <c r="C2" s="2" t="s">
        <v>12</v>
      </c>
      <c r="D2" s="3" t="s">
        <v>69</v>
      </c>
    </row>
    <row r="3" spans="1:4" x14ac:dyDescent="0.3">
      <c r="A3" s="2" t="s">
        <v>70</v>
      </c>
      <c r="B3" s="2" t="s">
        <v>30</v>
      </c>
      <c r="C3" s="4">
        <v>2635</v>
      </c>
      <c r="D3" s="2" t="str">
        <f>IF(MAX($C$3:$C$7)=C3,"최고",IF(MIN($C$3:$C$7)=C3,"최소",""))</f>
        <v>최소</v>
      </c>
    </row>
    <row r="4" spans="1:4" x14ac:dyDescent="0.3">
      <c r="A4" s="2" t="s">
        <v>71</v>
      </c>
      <c r="B4" s="2" t="s">
        <v>30</v>
      </c>
      <c r="C4" s="4">
        <v>3685</v>
      </c>
      <c r="D4" s="2" t="str">
        <f t="shared" ref="D4:D7" si="0">IF(MAX($C$3:$C$7)=C4,"최고",IF(MIN($C$3:$C$7)=C4,"최소",""))</f>
        <v/>
      </c>
    </row>
    <row r="5" spans="1:4" x14ac:dyDescent="0.3">
      <c r="A5" s="2" t="s">
        <v>72</v>
      </c>
      <c r="B5" s="2" t="s">
        <v>34</v>
      </c>
      <c r="C5" s="4">
        <v>4972</v>
      </c>
      <c r="D5" s="2" t="str">
        <f t="shared" si="0"/>
        <v>최고</v>
      </c>
    </row>
    <row r="6" spans="1:4" x14ac:dyDescent="0.3">
      <c r="A6" s="2" t="s">
        <v>73</v>
      </c>
      <c r="B6" s="2" t="s">
        <v>34</v>
      </c>
      <c r="C6" s="4">
        <v>4551</v>
      </c>
      <c r="D6" s="2" t="str">
        <f t="shared" si="0"/>
        <v/>
      </c>
    </row>
    <row r="7" spans="1:4" x14ac:dyDescent="0.3">
      <c r="A7" s="2" t="s">
        <v>74</v>
      </c>
      <c r="B7" s="2" t="s">
        <v>34</v>
      </c>
      <c r="C7" s="4">
        <v>4833</v>
      </c>
      <c r="D7" s="2" t="str">
        <f t="shared" si="0"/>
        <v/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3AD70E-DE30-41F7-AB03-E0BD0A0DEF6B}">
  <dimension ref="A1:E7"/>
  <sheetViews>
    <sheetView workbookViewId="0"/>
  </sheetViews>
  <sheetFormatPr defaultRowHeight="16.5" x14ac:dyDescent="0.3"/>
  <sheetData>
    <row r="1" spans="1:5" x14ac:dyDescent="0.3">
      <c r="A1" s="1" t="s">
        <v>177</v>
      </c>
    </row>
    <row r="2" spans="1:5" x14ac:dyDescent="0.3">
      <c r="A2" s="2" t="s">
        <v>59</v>
      </c>
      <c r="B2" s="2" t="s">
        <v>60</v>
      </c>
      <c r="C2" s="2" t="s">
        <v>61</v>
      </c>
      <c r="D2" s="2" t="s">
        <v>62</v>
      </c>
      <c r="E2" s="2" t="s">
        <v>63</v>
      </c>
    </row>
    <row r="3" spans="1:5" x14ac:dyDescent="0.3">
      <c r="A3" s="2" t="s">
        <v>64</v>
      </c>
      <c r="B3" s="2">
        <v>82</v>
      </c>
      <c r="C3" s="2">
        <v>86</v>
      </c>
      <c r="D3" s="2">
        <v>81</v>
      </c>
      <c r="E3" s="2">
        <v>83</v>
      </c>
    </row>
    <row r="4" spans="1:5" x14ac:dyDescent="0.3">
      <c r="A4" s="2" t="s">
        <v>65</v>
      </c>
      <c r="B4" s="2">
        <v>79</v>
      </c>
      <c r="C4" s="2">
        <v>82</v>
      </c>
      <c r="D4" s="2">
        <v>85</v>
      </c>
      <c r="E4" s="2">
        <v>82</v>
      </c>
    </row>
    <row r="5" spans="1:5" x14ac:dyDescent="0.3">
      <c r="A5" s="2" t="s">
        <v>66</v>
      </c>
      <c r="B5" s="2">
        <v>94</v>
      </c>
      <c r="C5" s="2">
        <v>90</v>
      </c>
      <c r="D5" s="2">
        <v>95</v>
      </c>
      <c r="E5" s="2">
        <v>93</v>
      </c>
    </row>
    <row r="6" spans="1:5" x14ac:dyDescent="0.3">
      <c r="A6" s="2" t="s">
        <v>67</v>
      </c>
      <c r="B6" s="2">
        <v>76</v>
      </c>
      <c r="C6" s="2">
        <v>72</v>
      </c>
      <c r="D6" s="2">
        <v>71</v>
      </c>
      <c r="E6" s="2">
        <v>73</v>
      </c>
    </row>
    <row r="7" spans="1:5" x14ac:dyDescent="0.3">
      <c r="A7" s="10" t="s">
        <v>68</v>
      </c>
      <c r="B7" s="11"/>
      <c r="C7" s="11"/>
      <c r="D7" s="12"/>
      <c r="E7" s="2">
        <f>TRUNC(_xlfn.STDEV.S(E3:E6),1)</f>
        <v>8.1</v>
      </c>
    </row>
  </sheetData>
  <mergeCells count="1">
    <mergeCell ref="A7:D7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9EF2D-3E90-4C4D-A6A6-8A82FA363194}">
  <dimension ref="A1:D7"/>
  <sheetViews>
    <sheetView workbookViewId="0"/>
  </sheetViews>
  <sheetFormatPr defaultRowHeight="16.5" x14ac:dyDescent="0.3"/>
  <cols>
    <col min="3" max="3" width="10.875" bestFit="1" customWidth="1"/>
  </cols>
  <sheetData>
    <row r="1" spans="1:4" x14ac:dyDescent="0.3">
      <c r="A1" s="1" t="s">
        <v>177</v>
      </c>
    </row>
    <row r="2" spans="1:4" x14ac:dyDescent="0.3">
      <c r="A2" s="2" t="s">
        <v>86</v>
      </c>
      <c r="B2" s="2" t="s">
        <v>12</v>
      </c>
      <c r="C2" s="2" t="s">
        <v>87</v>
      </c>
      <c r="D2" s="3" t="s">
        <v>88</v>
      </c>
    </row>
    <row r="3" spans="1:4" x14ac:dyDescent="0.3">
      <c r="A3" s="2" t="s">
        <v>89</v>
      </c>
      <c r="B3" s="2">
        <v>313</v>
      </c>
      <c r="C3" s="4">
        <v>1095500</v>
      </c>
      <c r="D3" s="2" t="str">
        <f>IF(C3&gt;=MEDIAN($C$3:$C$7),"우수","")</f>
        <v/>
      </c>
    </row>
    <row r="4" spans="1:4" x14ac:dyDescent="0.3">
      <c r="A4" s="2" t="s">
        <v>90</v>
      </c>
      <c r="B4" s="2">
        <v>284</v>
      </c>
      <c r="C4" s="4">
        <v>1238240</v>
      </c>
      <c r="D4" s="2" t="str">
        <f t="shared" ref="D4:D7" si="0">IF(C4&gt;=MEDIAN($C$3:$C$7),"우수","")</f>
        <v>우수</v>
      </c>
    </row>
    <row r="5" spans="1:4" x14ac:dyDescent="0.3">
      <c r="A5" s="2" t="s">
        <v>91</v>
      </c>
      <c r="B5" s="2">
        <v>308</v>
      </c>
      <c r="C5" s="4">
        <v>1124200</v>
      </c>
      <c r="D5" s="2" t="str">
        <f t="shared" si="0"/>
        <v>우수</v>
      </c>
    </row>
    <row r="6" spans="1:4" x14ac:dyDescent="0.3">
      <c r="A6" s="2" t="s">
        <v>92</v>
      </c>
      <c r="B6" s="2">
        <v>234</v>
      </c>
      <c r="C6" s="4">
        <v>865800</v>
      </c>
      <c r="D6" s="2" t="str">
        <f t="shared" si="0"/>
        <v/>
      </c>
    </row>
    <row r="7" spans="1:4" x14ac:dyDescent="0.3">
      <c r="A7" s="2" t="s">
        <v>93</v>
      </c>
      <c r="B7" s="2">
        <v>348</v>
      </c>
      <c r="C7" s="4">
        <v>1444200</v>
      </c>
      <c r="D7" s="2" t="str">
        <f t="shared" si="0"/>
        <v>우수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F3A1D-F51D-46BB-812D-1921CBF2D72A}">
  <dimension ref="A1:D7"/>
  <sheetViews>
    <sheetView workbookViewId="0"/>
  </sheetViews>
  <sheetFormatPr defaultRowHeight="16.5" x14ac:dyDescent="0.3"/>
  <cols>
    <col min="1" max="4" width="11.625" customWidth="1"/>
  </cols>
  <sheetData>
    <row r="1" spans="1:4" x14ac:dyDescent="0.3">
      <c r="A1" s="1" t="s">
        <v>94</v>
      </c>
    </row>
    <row r="2" spans="1:4" x14ac:dyDescent="0.3">
      <c r="A2" s="2" t="s">
        <v>179</v>
      </c>
      <c r="B2" s="2" t="s">
        <v>180</v>
      </c>
      <c r="C2" s="2" t="s">
        <v>181</v>
      </c>
      <c r="D2" s="2" t="s">
        <v>182</v>
      </c>
    </row>
    <row r="3" spans="1:4" x14ac:dyDescent="0.3">
      <c r="A3" s="2" t="s">
        <v>183</v>
      </c>
      <c r="B3" s="2" t="s">
        <v>95</v>
      </c>
      <c r="C3" s="2">
        <v>5</v>
      </c>
      <c r="D3" s="4">
        <v>582000</v>
      </c>
    </row>
    <row r="4" spans="1:4" x14ac:dyDescent="0.3">
      <c r="A4" s="2" t="s">
        <v>184</v>
      </c>
      <c r="B4" s="2" t="s">
        <v>96</v>
      </c>
      <c r="C4" s="2">
        <v>9</v>
      </c>
      <c r="D4" s="4">
        <v>1368000</v>
      </c>
    </row>
    <row r="5" spans="1:4" x14ac:dyDescent="0.3">
      <c r="A5" s="2" t="s">
        <v>185</v>
      </c>
      <c r="B5" s="2" t="s">
        <v>96</v>
      </c>
      <c r="C5" s="2">
        <v>7</v>
      </c>
      <c r="D5" s="4">
        <v>769000</v>
      </c>
    </row>
    <row r="6" spans="1:4" x14ac:dyDescent="0.3">
      <c r="A6" s="2" t="s">
        <v>186</v>
      </c>
      <c r="B6" s="2" t="s">
        <v>95</v>
      </c>
      <c r="C6" s="2">
        <v>9</v>
      </c>
      <c r="D6" s="4">
        <v>944000</v>
      </c>
    </row>
    <row r="7" spans="1:4" x14ac:dyDescent="0.3">
      <c r="A7" s="10" t="s">
        <v>187</v>
      </c>
      <c r="B7" s="11"/>
      <c r="C7" s="12"/>
      <c r="D7" s="9">
        <f>COUNTIF(C3:C6,_xlfn.MODE.SNGL(C3:C6))</f>
        <v>2</v>
      </c>
    </row>
  </sheetData>
  <mergeCells count="1">
    <mergeCell ref="A7:C7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sheetPr>
    <tabColor theme="7" tint="0.59999389629810485"/>
  </sheetPr>
  <dimension ref="A1:J35"/>
  <sheetViews>
    <sheetView workbookViewId="0"/>
  </sheetViews>
  <sheetFormatPr defaultRowHeight="16.5" x14ac:dyDescent="0.3"/>
  <cols>
    <col min="10" max="10" width="9.125" bestFit="1" customWidth="1"/>
  </cols>
  <sheetData>
    <row r="1" spans="1:10" x14ac:dyDescent="0.3">
      <c r="A1" s="1" t="s">
        <v>0</v>
      </c>
      <c r="B1" s="6" t="s">
        <v>97</v>
      </c>
      <c r="F1" s="5" t="s">
        <v>98</v>
      </c>
      <c r="G1" s="6" t="s">
        <v>99</v>
      </c>
    </row>
    <row r="2" spans="1:10" x14ac:dyDescent="0.3">
      <c r="A2" s="2" t="s">
        <v>25</v>
      </c>
      <c r="B2" s="2" t="s">
        <v>11</v>
      </c>
      <c r="C2" s="2" t="s">
        <v>26</v>
      </c>
      <c r="D2" s="2" t="s">
        <v>42</v>
      </c>
      <c r="F2" s="2" t="s">
        <v>48</v>
      </c>
      <c r="G2" s="2" t="s">
        <v>100</v>
      </c>
      <c r="H2" s="2" t="s">
        <v>10</v>
      </c>
      <c r="I2" s="2" t="s">
        <v>101</v>
      </c>
    </row>
    <row r="3" spans="1:10" x14ac:dyDescent="0.3">
      <c r="A3" s="2" t="s">
        <v>102</v>
      </c>
      <c r="B3" s="2" t="s">
        <v>15</v>
      </c>
      <c r="C3" s="2" t="s">
        <v>34</v>
      </c>
      <c r="D3" s="4">
        <v>7654</v>
      </c>
      <c r="F3" s="2" t="s">
        <v>103</v>
      </c>
      <c r="G3" s="2">
        <v>1</v>
      </c>
      <c r="H3" s="2" t="s">
        <v>19</v>
      </c>
      <c r="I3" s="2">
        <v>243</v>
      </c>
    </row>
    <row r="4" spans="1:10" x14ac:dyDescent="0.3">
      <c r="A4" s="2" t="s">
        <v>104</v>
      </c>
      <c r="B4" s="2" t="s">
        <v>15</v>
      </c>
      <c r="C4" s="2" t="s">
        <v>30</v>
      </c>
      <c r="D4" s="4">
        <v>8427</v>
      </c>
      <c r="F4" s="2" t="s">
        <v>105</v>
      </c>
      <c r="G4" s="2">
        <v>1</v>
      </c>
      <c r="H4" s="2" t="s">
        <v>14</v>
      </c>
      <c r="I4" s="2">
        <v>273</v>
      </c>
    </row>
    <row r="5" spans="1:10" x14ac:dyDescent="0.3">
      <c r="A5" s="2" t="s">
        <v>106</v>
      </c>
      <c r="B5" s="2" t="s">
        <v>15</v>
      </c>
      <c r="C5" s="2" t="s">
        <v>37</v>
      </c>
      <c r="D5" s="4">
        <v>5910</v>
      </c>
      <c r="F5" s="2" t="s">
        <v>107</v>
      </c>
      <c r="G5" s="2">
        <v>2</v>
      </c>
      <c r="H5" s="2" t="s">
        <v>14</v>
      </c>
      <c r="I5" s="2">
        <v>237</v>
      </c>
    </row>
    <row r="6" spans="1:10" x14ac:dyDescent="0.3">
      <c r="A6" s="2" t="s">
        <v>108</v>
      </c>
      <c r="B6" s="2" t="s">
        <v>17</v>
      </c>
      <c r="C6" s="2" t="s">
        <v>34</v>
      </c>
      <c r="D6" s="4">
        <v>6335</v>
      </c>
      <c r="F6" s="2" t="s">
        <v>109</v>
      </c>
      <c r="G6" s="2">
        <v>2</v>
      </c>
      <c r="H6" s="2" t="s">
        <v>14</v>
      </c>
      <c r="I6" s="2">
        <v>195</v>
      </c>
    </row>
    <row r="7" spans="1:10" x14ac:dyDescent="0.3">
      <c r="A7" s="2" t="s">
        <v>110</v>
      </c>
      <c r="B7" s="2" t="s">
        <v>17</v>
      </c>
      <c r="C7" s="2" t="s">
        <v>30</v>
      </c>
      <c r="D7" s="4">
        <v>7521</v>
      </c>
      <c r="F7" s="2" t="s">
        <v>111</v>
      </c>
      <c r="G7" s="2">
        <v>3</v>
      </c>
      <c r="H7" s="2" t="s">
        <v>19</v>
      </c>
      <c r="I7" s="2">
        <v>285</v>
      </c>
    </row>
    <row r="8" spans="1:10" x14ac:dyDescent="0.3">
      <c r="A8" s="2" t="s">
        <v>112</v>
      </c>
      <c r="B8" s="2" t="s">
        <v>113</v>
      </c>
      <c r="C8" s="2" t="s">
        <v>34</v>
      </c>
      <c r="D8" s="4">
        <v>6698</v>
      </c>
      <c r="F8" s="2" t="s">
        <v>114</v>
      </c>
      <c r="G8" s="2">
        <v>3</v>
      </c>
      <c r="H8" s="2" t="s">
        <v>14</v>
      </c>
      <c r="I8" s="2">
        <v>264</v>
      </c>
    </row>
    <row r="9" spans="1:10" x14ac:dyDescent="0.3">
      <c r="A9" s="2" t="s">
        <v>115</v>
      </c>
      <c r="B9" s="2" t="s">
        <v>113</v>
      </c>
      <c r="C9" s="2" t="s">
        <v>30</v>
      </c>
      <c r="D9" s="4">
        <v>6362</v>
      </c>
      <c r="F9" s="2" t="s">
        <v>116</v>
      </c>
      <c r="G9" s="2">
        <v>4</v>
      </c>
      <c r="H9" s="2" t="s">
        <v>19</v>
      </c>
      <c r="I9" s="2">
        <v>279</v>
      </c>
    </row>
    <row r="10" spans="1:10" x14ac:dyDescent="0.3">
      <c r="A10" s="2" t="s">
        <v>117</v>
      </c>
      <c r="B10" s="2" t="s">
        <v>113</v>
      </c>
      <c r="C10" s="2" t="s">
        <v>37</v>
      </c>
      <c r="D10" s="4">
        <v>4625</v>
      </c>
      <c r="F10" s="2" t="s">
        <v>118</v>
      </c>
      <c r="G10" s="2">
        <v>4</v>
      </c>
      <c r="H10" s="2" t="s">
        <v>19</v>
      </c>
      <c r="I10" s="2">
        <v>273</v>
      </c>
    </row>
    <row r="11" spans="1:10" x14ac:dyDescent="0.3">
      <c r="A11" s="10" t="s">
        <v>188</v>
      </c>
      <c r="B11" s="11"/>
      <c r="C11" s="12"/>
      <c r="D11" s="8">
        <f>COUNTIF(D3:D10,"&gt;=7000")/COUNT(D3:D10)</f>
        <v>0.375</v>
      </c>
      <c r="F11" s="10" t="s">
        <v>119</v>
      </c>
      <c r="G11" s="11"/>
      <c r="H11" s="12"/>
      <c r="I11" s="2" t="str">
        <f>COUNTIFS(H3:H10,"여",I3:I10,"&gt;="&amp;AVERAGE(I3:I10))&amp;"명"</f>
        <v>3명</v>
      </c>
    </row>
    <row r="13" spans="1:10" x14ac:dyDescent="0.3">
      <c r="A13" s="5" t="s">
        <v>120</v>
      </c>
      <c r="B13" s="6" t="s">
        <v>121</v>
      </c>
      <c r="F13" s="5" t="s">
        <v>94</v>
      </c>
      <c r="G13" s="6" t="s">
        <v>122</v>
      </c>
    </row>
    <row r="14" spans="1:10" x14ac:dyDescent="0.3">
      <c r="A14" s="2" t="s">
        <v>123</v>
      </c>
      <c r="B14" s="2" t="s">
        <v>124</v>
      </c>
      <c r="C14" s="2" t="s">
        <v>125</v>
      </c>
      <c r="D14" s="2" t="s">
        <v>126</v>
      </c>
      <c r="F14" s="2" t="s">
        <v>124</v>
      </c>
      <c r="G14" s="2" t="s">
        <v>127</v>
      </c>
      <c r="H14" s="2" t="s">
        <v>128</v>
      </c>
      <c r="I14" s="2" t="s">
        <v>12</v>
      </c>
      <c r="J14" s="2" t="s">
        <v>87</v>
      </c>
    </row>
    <row r="15" spans="1:10" x14ac:dyDescent="0.3">
      <c r="A15" s="2" t="s">
        <v>129</v>
      </c>
      <c r="B15" s="2" t="s">
        <v>130</v>
      </c>
      <c r="C15" s="2" t="s">
        <v>131</v>
      </c>
      <c r="D15" s="2">
        <v>200</v>
      </c>
      <c r="F15" s="2" t="s">
        <v>95</v>
      </c>
      <c r="G15" s="2" t="s">
        <v>132</v>
      </c>
      <c r="H15" s="4">
        <v>17500</v>
      </c>
      <c r="I15" s="2">
        <v>17</v>
      </c>
      <c r="J15" s="4">
        <v>297500</v>
      </c>
    </row>
    <row r="16" spans="1:10" x14ac:dyDescent="0.3">
      <c r="A16" s="2" t="s">
        <v>129</v>
      </c>
      <c r="B16" s="2" t="s">
        <v>133</v>
      </c>
      <c r="C16" s="2" t="s">
        <v>134</v>
      </c>
      <c r="D16" s="2">
        <v>180</v>
      </c>
      <c r="F16" s="2" t="s">
        <v>96</v>
      </c>
      <c r="G16" s="2" t="s">
        <v>135</v>
      </c>
      <c r="H16" s="4">
        <v>23500</v>
      </c>
      <c r="I16" s="2">
        <v>16</v>
      </c>
      <c r="J16" s="4">
        <v>376000</v>
      </c>
    </row>
    <row r="17" spans="1:10" x14ac:dyDescent="0.3">
      <c r="A17" s="2" t="s">
        <v>136</v>
      </c>
      <c r="B17" s="2" t="s">
        <v>137</v>
      </c>
      <c r="C17" s="2" t="s">
        <v>138</v>
      </c>
      <c r="D17" s="2">
        <v>156</v>
      </c>
      <c r="F17" s="2" t="s">
        <v>139</v>
      </c>
      <c r="G17" s="2" t="s">
        <v>140</v>
      </c>
      <c r="H17" s="4">
        <v>8500</v>
      </c>
      <c r="I17" s="2">
        <v>23</v>
      </c>
      <c r="J17" s="4">
        <v>195500</v>
      </c>
    </row>
    <row r="18" spans="1:10" x14ac:dyDescent="0.3">
      <c r="A18" s="2" t="s">
        <v>136</v>
      </c>
      <c r="B18" s="2" t="s">
        <v>141</v>
      </c>
      <c r="C18" s="2" t="s">
        <v>142</v>
      </c>
      <c r="D18" s="2">
        <v>124</v>
      </c>
      <c r="F18" s="2" t="s">
        <v>95</v>
      </c>
      <c r="G18" s="2" t="s">
        <v>143</v>
      </c>
      <c r="H18" s="4">
        <v>18500</v>
      </c>
      <c r="I18" s="2">
        <v>14</v>
      </c>
      <c r="J18" s="4">
        <v>259000</v>
      </c>
    </row>
    <row r="19" spans="1:10" x14ac:dyDescent="0.3">
      <c r="A19" s="2" t="s">
        <v>136</v>
      </c>
      <c r="B19" s="2" t="s">
        <v>144</v>
      </c>
      <c r="C19" s="2" t="s">
        <v>142</v>
      </c>
      <c r="D19" s="2">
        <v>112</v>
      </c>
      <c r="F19" s="2" t="s">
        <v>96</v>
      </c>
      <c r="G19" s="2" t="s">
        <v>145</v>
      </c>
      <c r="H19" s="4">
        <v>22000</v>
      </c>
      <c r="I19" s="2">
        <v>22</v>
      </c>
      <c r="J19" s="4">
        <v>484000</v>
      </c>
    </row>
    <row r="20" spans="1:10" x14ac:dyDescent="0.3">
      <c r="A20" s="2" t="s">
        <v>146</v>
      </c>
      <c r="B20" s="2" t="s">
        <v>130</v>
      </c>
      <c r="C20" s="2" t="s">
        <v>138</v>
      </c>
      <c r="D20" s="2">
        <v>242</v>
      </c>
      <c r="F20" s="2" t="s">
        <v>95</v>
      </c>
      <c r="G20" s="2" t="s">
        <v>147</v>
      </c>
      <c r="H20" s="4">
        <v>18000</v>
      </c>
      <c r="I20" s="2">
        <v>19</v>
      </c>
      <c r="J20" s="4">
        <v>342000</v>
      </c>
    </row>
    <row r="21" spans="1:10" x14ac:dyDescent="0.3">
      <c r="A21" s="2" t="s">
        <v>146</v>
      </c>
      <c r="B21" s="2" t="s">
        <v>133</v>
      </c>
      <c r="C21" s="2" t="s">
        <v>131</v>
      </c>
      <c r="D21" s="2">
        <v>168</v>
      </c>
      <c r="F21" s="2" t="s">
        <v>96</v>
      </c>
      <c r="G21" s="2" t="s">
        <v>148</v>
      </c>
      <c r="H21" s="4">
        <v>22500</v>
      </c>
      <c r="I21" s="2">
        <v>26</v>
      </c>
      <c r="J21" s="4">
        <v>585000</v>
      </c>
    </row>
    <row r="22" spans="1:10" x14ac:dyDescent="0.3">
      <c r="A22" s="2" t="s">
        <v>146</v>
      </c>
      <c r="B22" s="2" t="s">
        <v>130</v>
      </c>
      <c r="C22" s="2" t="s">
        <v>134</v>
      </c>
      <c r="D22" s="2">
        <v>185</v>
      </c>
      <c r="F22" s="2" t="s">
        <v>96</v>
      </c>
      <c r="G22" s="2" t="s">
        <v>149</v>
      </c>
      <c r="H22" s="4">
        <v>24000</v>
      </c>
      <c r="I22" s="2">
        <v>12</v>
      </c>
      <c r="J22" s="4">
        <v>288000</v>
      </c>
    </row>
    <row r="23" spans="1:10" x14ac:dyDescent="0.3">
      <c r="A23" s="10" t="s">
        <v>150</v>
      </c>
      <c r="B23" s="11"/>
      <c r="C23" s="12"/>
      <c r="D23" s="2" t="str">
        <f>AVERAGEIF(B15:B22,"세단",D15:D22)&amp;"대"</f>
        <v>209대</v>
      </c>
      <c r="F23" s="10" t="s">
        <v>151</v>
      </c>
      <c r="G23" s="11"/>
      <c r="H23" s="11"/>
      <c r="I23" s="12"/>
      <c r="J23" s="4">
        <f>AVERAGEIFS(J15:J22,F15:F22,"프리미엄",I15:I22,"&gt;=20")</f>
        <v>534500</v>
      </c>
    </row>
    <row r="25" spans="1:10" x14ac:dyDescent="0.3">
      <c r="A25" s="5" t="s">
        <v>152</v>
      </c>
      <c r="B25" s="6" t="s">
        <v>153</v>
      </c>
      <c r="F25" s="5" t="s">
        <v>154</v>
      </c>
      <c r="G25" s="6" t="s">
        <v>155</v>
      </c>
    </row>
    <row r="26" spans="1:10" x14ac:dyDescent="0.3">
      <c r="A26" s="2" t="s">
        <v>83</v>
      </c>
      <c r="B26" s="2" t="s">
        <v>156</v>
      </c>
      <c r="C26" s="2" t="s">
        <v>12</v>
      </c>
      <c r="D26" s="2" t="s">
        <v>157</v>
      </c>
      <c r="F26" s="2" t="s">
        <v>158</v>
      </c>
      <c r="G26" s="2" t="s">
        <v>128</v>
      </c>
      <c r="H26" s="2" t="s">
        <v>12</v>
      </c>
      <c r="I26" s="2" t="s">
        <v>159</v>
      </c>
      <c r="J26" s="3" t="s">
        <v>160</v>
      </c>
    </row>
    <row r="27" spans="1:10" x14ac:dyDescent="0.3">
      <c r="A27" s="2" t="s">
        <v>161</v>
      </c>
      <c r="B27" s="4">
        <v>35000</v>
      </c>
      <c r="C27" s="4">
        <v>32415</v>
      </c>
      <c r="D27" s="4">
        <v>2585</v>
      </c>
      <c r="F27" s="2" t="s">
        <v>162</v>
      </c>
      <c r="G27" s="4">
        <v>1200</v>
      </c>
      <c r="H27" s="2">
        <v>14</v>
      </c>
      <c r="I27" s="4">
        <v>16800</v>
      </c>
      <c r="J27" s="2" t="str">
        <f>IF(AND(H27&gt;=10,I27&gt;=MEDIAN($I$27:$I$35)),"예정","")</f>
        <v>예정</v>
      </c>
    </row>
    <row r="28" spans="1:10" x14ac:dyDescent="0.3">
      <c r="A28" s="2" t="s">
        <v>85</v>
      </c>
      <c r="B28" s="4">
        <v>30000</v>
      </c>
      <c r="C28" s="4">
        <v>26584</v>
      </c>
      <c r="D28" s="4">
        <v>3416</v>
      </c>
      <c r="F28" s="2" t="s">
        <v>163</v>
      </c>
      <c r="G28" s="4">
        <v>1000</v>
      </c>
      <c r="H28" s="2">
        <v>22</v>
      </c>
      <c r="I28" s="4">
        <v>22000</v>
      </c>
      <c r="J28" s="2" t="str">
        <f t="shared" ref="J28:J35" si="0">IF(AND(H28&gt;=10,I28&gt;=MEDIAN($I$27:$I$35)),"예정","")</f>
        <v>예정</v>
      </c>
    </row>
    <row r="29" spans="1:10" x14ac:dyDescent="0.3">
      <c r="A29" s="2" t="s">
        <v>164</v>
      </c>
      <c r="B29" s="4">
        <v>40000</v>
      </c>
      <c r="C29" s="4">
        <v>35472</v>
      </c>
      <c r="D29" s="4">
        <v>4528</v>
      </c>
      <c r="F29" s="2" t="s">
        <v>165</v>
      </c>
      <c r="G29" s="4">
        <v>650</v>
      </c>
      <c r="H29" s="2">
        <v>12</v>
      </c>
      <c r="I29" s="4">
        <v>7800</v>
      </c>
      <c r="J29" s="2" t="str">
        <f t="shared" si="0"/>
        <v/>
      </c>
    </row>
    <row r="30" spans="1:10" x14ac:dyDescent="0.3">
      <c r="A30" s="2" t="s">
        <v>166</v>
      </c>
      <c r="B30" s="4">
        <v>36000</v>
      </c>
      <c r="C30" s="4">
        <v>33564</v>
      </c>
      <c r="D30" s="4">
        <v>2436</v>
      </c>
      <c r="F30" s="2" t="s">
        <v>167</v>
      </c>
      <c r="G30" s="4">
        <v>1350</v>
      </c>
      <c r="H30" s="2">
        <v>11</v>
      </c>
      <c r="I30" s="4">
        <v>14850</v>
      </c>
      <c r="J30" s="2" t="str">
        <f t="shared" si="0"/>
        <v>예정</v>
      </c>
    </row>
    <row r="31" spans="1:10" x14ac:dyDescent="0.3">
      <c r="A31" s="2" t="s">
        <v>168</v>
      </c>
      <c r="B31" s="4">
        <v>38000</v>
      </c>
      <c r="C31" s="4">
        <v>35179</v>
      </c>
      <c r="D31" s="4">
        <v>2821</v>
      </c>
      <c r="F31" s="2" t="s">
        <v>169</v>
      </c>
      <c r="G31" s="4">
        <v>1600</v>
      </c>
      <c r="H31" s="2">
        <v>7</v>
      </c>
      <c r="I31" s="4">
        <v>11200</v>
      </c>
      <c r="J31" s="2" t="str">
        <f t="shared" si="0"/>
        <v/>
      </c>
    </row>
    <row r="32" spans="1:10" x14ac:dyDescent="0.3">
      <c r="A32" s="2" t="s">
        <v>170</v>
      </c>
      <c r="B32" s="4">
        <v>34000</v>
      </c>
      <c r="C32" s="4">
        <v>30592</v>
      </c>
      <c r="D32" s="4">
        <v>3408</v>
      </c>
      <c r="F32" s="2" t="s">
        <v>171</v>
      </c>
      <c r="G32" s="4">
        <v>850</v>
      </c>
      <c r="H32" s="2">
        <v>11</v>
      </c>
      <c r="I32" s="4">
        <v>9350</v>
      </c>
      <c r="J32" s="2" t="str">
        <f t="shared" si="0"/>
        <v/>
      </c>
    </row>
    <row r="33" spans="1:10" x14ac:dyDescent="0.3">
      <c r="A33" s="2" t="s">
        <v>84</v>
      </c>
      <c r="B33" s="4">
        <v>32000</v>
      </c>
      <c r="C33" s="4">
        <v>31273</v>
      </c>
      <c r="D33" s="4">
        <v>727</v>
      </c>
      <c r="F33" s="2" t="s">
        <v>172</v>
      </c>
      <c r="G33" s="4">
        <v>1100</v>
      </c>
      <c r="H33" s="2">
        <v>15</v>
      </c>
      <c r="I33" s="4">
        <v>16500</v>
      </c>
      <c r="J33" s="2" t="str">
        <f t="shared" si="0"/>
        <v>예정</v>
      </c>
    </row>
    <row r="34" spans="1:10" x14ac:dyDescent="0.3">
      <c r="A34" s="2" t="s">
        <v>173</v>
      </c>
      <c r="B34" s="4">
        <v>35000</v>
      </c>
      <c r="C34" s="4">
        <v>32967</v>
      </c>
      <c r="D34" s="4">
        <v>2033</v>
      </c>
      <c r="F34" s="2" t="s">
        <v>174</v>
      </c>
      <c r="G34" s="4">
        <v>1300</v>
      </c>
      <c r="H34" s="2">
        <v>9</v>
      </c>
      <c r="I34" s="4">
        <v>11700</v>
      </c>
      <c r="J34" s="2" t="str">
        <f t="shared" si="0"/>
        <v/>
      </c>
    </row>
    <row r="35" spans="1:10" x14ac:dyDescent="0.3">
      <c r="A35" s="10" t="s">
        <v>175</v>
      </c>
      <c r="B35" s="11"/>
      <c r="C35" s="12"/>
      <c r="D35" s="4">
        <f>LARGE(D27:D34,3)-SMALL(D27:D34,2)</f>
        <v>1375</v>
      </c>
      <c r="F35" s="2" t="s">
        <v>176</v>
      </c>
      <c r="G35" s="4">
        <v>3200</v>
      </c>
      <c r="H35" s="2">
        <v>8</v>
      </c>
      <c r="I35" s="4">
        <v>25600</v>
      </c>
      <c r="J35" s="2" t="str">
        <f t="shared" si="0"/>
        <v/>
      </c>
    </row>
  </sheetData>
  <mergeCells count="5">
    <mergeCell ref="A11:C11"/>
    <mergeCell ref="F11:H11"/>
    <mergeCell ref="A23:C23"/>
    <mergeCell ref="F23:I23"/>
    <mergeCell ref="A35:C35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11</vt:i4>
      </vt:variant>
    </vt:vector>
  </HeadingPairs>
  <TitlesOfParts>
    <vt:vector size="11" baseType="lpstr">
      <vt:lpstr>출제유형_01_유형1</vt:lpstr>
      <vt:lpstr>02_유형1~2</vt:lpstr>
      <vt:lpstr>03_유형1</vt:lpstr>
      <vt:lpstr>04_유형1</vt:lpstr>
      <vt:lpstr>05_유형1</vt:lpstr>
      <vt:lpstr>06_유형1~2</vt:lpstr>
      <vt:lpstr>07_유형1</vt:lpstr>
      <vt:lpstr>08_유형1</vt:lpstr>
      <vt:lpstr>09_유형1</vt:lpstr>
      <vt:lpstr>10_유형1</vt:lpstr>
      <vt:lpstr>대표기출문제_기출1~6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user</cp:lastModifiedBy>
  <dcterms:created xsi:type="dcterms:W3CDTF">2023-04-27T08:01:32Z</dcterms:created>
  <dcterms:modified xsi:type="dcterms:W3CDTF">2025-12-02T19:29:11Z</dcterms:modified>
</cp:coreProperties>
</file>