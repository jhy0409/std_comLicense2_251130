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527EBEAA-4BBA-4C70-A4D7-68592C2EA6BA}" xr6:coauthVersionLast="47" xr6:coauthVersionMax="47" xr10:uidLastSave="{00000000-0000-0000-0000-000000000000}"/>
  <bookViews>
    <workbookView xWindow="4800" yWindow="2250" windowWidth="20295" windowHeight="11760" tabRatio="926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definedNames>
    <definedName name="_xlnm._FilterDatabase" localSheetId="1" hidden="1">'02_유형1'!$A$1:$F$8</definedName>
    <definedName name="_xlnm._FilterDatabase" localSheetId="2" hidden="1">'02_유형2'!$A$1:$F$8</definedName>
    <definedName name="_xlnm._FilterDatabase" localSheetId="3" hidden="1">'03_유형1'!$A$1:$F$8</definedName>
    <definedName name="_xlnm._FilterDatabase" localSheetId="4" hidden="1">'03_유형2'!$A$1:$F$8</definedName>
    <definedName name="_xlnm._FilterDatabase" localSheetId="5" hidden="1">'04_유형1'!$A$1:$F$8</definedName>
    <definedName name="_xlnm._FilterDatabase" localSheetId="6" hidden="1">'04_유형2'!$A$1:$F$8</definedName>
    <definedName name="_xlnm._FilterDatabase" localSheetId="8" hidden="1">기출2!$A$3:$F$15</definedName>
    <definedName name="_xlnm._FilterDatabase" localSheetId="9" hidden="1">기출3!$A$3:$F$15</definedName>
    <definedName name="_xlnm._FilterDatabase" localSheetId="10" hidden="1">기출4!$A$3:$E$15</definedName>
    <definedName name="_xlnm._FilterDatabase" localSheetId="7" hidden="1">대표기출문제_기출1!$A$3:$F$15</definedName>
    <definedName name="_xlnm._FilterDatabase" localSheetId="0" hidden="1">출제유형_01_유형1!$A$1:$F$8</definedName>
    <definedName name="_xlnm.Criteria" localSheetId="1">'02_유형1'!$A$11:$B$13</definedName>
    <definedName name="_xlnm.Criteria" localSheetId="2">'02_유형2'!$A$11:$A$13</definedName>
    <definedName name="_xlnm.Criteria" localSheetId="3">'03_유형1'!$A$11:$B$13</definedName>
    <definedName name="_xlnm.Criteria" localSheetId="4">'03_유형2'!$A$11:$C$13</definedName>
    <definedName name="_xlnm.Criteria" localSheetId="5">'04_유형1'!$A$11:$A$12</definedName>
    <definedName name="_xlnm.Criteria" localSheetId="6">'04_유형2'!$A$11:$B$12</definedName>
    <definedName name="_xlnm.Criteria" localSheetId="8">기출2!$A$17:$B$19</definedName>
    <definedName name="_xlnm.Criteria" localSheetId="9">기출3!$A$18:$C$20</definedName>
    <definedName name="_xlnm.Criteria" localSheetId="10">기출4!$A$17:$B$19</definedName>
    <definedName name="_xlnm.Criteria" localSheetId="7">대표기출문제_기출1!$A$17:$B$18</definedName>
    <definedName name="_xlnm.Criteria" localSheetId="0">출제유형_01_유형1!$A$11:$B$12</definedName>
    <definedName name="_xlnm.Extract" localSheetId="1">'02_유형1'!$A$16:$F$16</definedName>
    <definedName name="_xlnm.Extract" localSheetId="2">'02_유형2'!$A$16:$F$16</definedName>
    <definedName name="_xlnm.Extract" localSheetId="3">'03_유형1'!$A$16:$F$16</definedName>
    <definedName name="_xlnm.Extract" localSheetId="4">'03_유형2'!$A$16:$F$16</definedName>
    <definedName name="_xlnm.Extract" localSheetId="5">'04_유형1'!$A$15:$F$15</definedName>
    <definedName name="_xlnm.Extract" localSheetId="6">'04_유형2'!$A$15:$F$15</definedName>
    <definedName name="_xlnm.Extract" localSheetId="8">기출2!$A$21:$F$21</definedName>
    <definedName name="_xlnm.Extract" localSheetId="9">기출3!$A$23:$F$23</definedName>
    <definedName name="_xlnm.Extract" localSheetId="10">기출4!$A$21:$D$21</definedName>
    <definedName name="_xlnm.Extract" localSheetId="7">대표기출문제_기출1!$A$21:$F$21</definedName>
    <definedName name="_xlnm.Extract" localSheetId="0">출제유형_01_유형1!$A$15:$F$15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9" i="3" l="1"/>
  <c r="B12" i="26"/>
  <c r="A12" i="27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<sst xmlns="http://schemas.openxmlformats.org/spreadsheetml/2006/main" count="507" uniqueCount="115">
  <si>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</si>
  <si>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</si>
  <si>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</si>
  <si>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</si>
  <si>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</si>
  <si>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</si>
  <si>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</si>
  <si>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</si>
  <si>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</si>
  <si>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</si>
  <si>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</si>
  <si>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</si>
  <si>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</si>
  <si>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</si>
  <si>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</si>
  <si>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</si>
  <si>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</si>
  <si>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</si>
  <si>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</si>
  <si>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</si>
  <si>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</si>
  <si>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</si>
  <si>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</si>
  <si>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</si>
  <si>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</si>
  <si>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</si>
  <si>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</si>
  <si>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</si>
  <si>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</si>
  <si>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</si>
  <si>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</si>
  <si>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</si>
  <si>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</si>
  <si>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</si>
  <si>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</si>
  <si>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</si>
  <si>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</si>
  <si>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</si>
  <si>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</si>
  <si>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</si>
  <si>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</si>
  <si>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</si>
  <si>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</si>
  <si>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</si>
  <si>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</si>
  <si>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</si>
  <si>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</si>
  <si>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</si>
  <si>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</si>
  <si>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</si>
  <si>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</si>
  <si>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</si>
  <si>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</si>
  <si>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</si>
  <si>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</si>
  <si>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</si>
  <si>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</si>
  <si>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</si>
  <si>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</si>
  <si>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</si>
  <si>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</si>
  <si>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</si>
  <si>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</si>
  <si>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</si>
  <si>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</si>
  <si>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</si>
  <si>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</si>
  <si>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</si>
  <si>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</si>
  <si>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</si>
  <si>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</si>
  <si>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</si>
  <si>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</si>
  <si>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</si>
  <si>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</si>
  <si>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</si>
  <si>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</si>
  <si>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</si>
  <si>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</si>
  <si>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</si>
  <si>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</si>
  <si>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</si>
  <si>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</si>
  <si>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</si>
  <si>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</si>
  <si>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</si>
  <si>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</si>
  <si>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</si>
  <si>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</si>
  <si>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</si>
  <si>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</si>
  <si>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</si>
  <si>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</si>
  <si>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</si>
  <si>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</si>
  <si>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</si>
  <si>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</si>
  <si>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</si>
  <si>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</si>
  <si>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</si>
  <si>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</si>
  <si>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</si>
  <si>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</si>
  <si>
    <t>&gt;=60000</t>
    <phoneticPr fontId="1" type="noConversion"/>
  </si>
  <si>
    <t>&lt;60000</t>
    <phoneticPr fontId="1" type="noConversion"/>
  </si>
  <si>
    <t>&gt;=50000</t>
    <phoneticPr fontId="1" type="noConversion"/>
  </si>
  <si>
    <t>조건</t>
    <phoneticPr fontId="1" type="noConversion"/>
  </si>
  <si>
    <t xml:space="preserve"> </t>
    <phoneticPr fontId="1" type="noConversion"/>
  </si>
  <si>
    <t>&gt;=1000</t>
    <phoneticPr fontId="1" type="noConversion"/>
  </si>
  <si>
    <t>&gt;=400</t>
    <phoneticPr fontId="1" type="noConversion"/>
  </si>
  <si>
    <t>&gt;=80</t>
    <phoneticPr fontId="1" type="noConversion"/>
  </si>
  <si>
    <t>&lt;90</t>
    <phoneticPr fontId="1" type="noConversion"/>
  </si>
  <si>
    <t>&gt;=90</t>
    <phoneticPr fontId="1" type="noConversion"/>
  </si>
  <si>
    <t>&gt;=10000</t>
    <phoneticPr fontId="1" type="noConversion"/>
  </si>
  <si>
    <t>&lt;10000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</si>
</sst>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0" borderId="0" xfId="0" applyBorder="1">
      <alignment vertical="center"/>
    </xf>
    <xf numFmtId="41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7"/>
  <sheetViews>
    <sheetView tabSelected="1" workbookViewId="0">
      <selection activeCell="C8" sqref="C8"/>
    </sheetView>
  </sheetViews>
  <sheetFormatPr defaultRowHeight="16.5" x14ac:dyDescent="0.3"/>
  <cols>
    <col min="1" max="1" width="11.125" bestFit="1" customWidth="1"/>
    <col min="2" max="2" width="9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6" t="s">
        <v>3</v>
      </c>
      <c r="B11" s="6" t="s">
        <v>5</v>
      </c>
      <c r="C11" s="5"/>
      <c r="D11" s="5"/>
      <c r="E11" s="5"/>
      <c r="F11" s="5"/>
    </row>
    <row r="12" spans="1:6" x14ac:dyDescent="0.3">
      <c r="A12" s="6" t="s">
        <v>8</v>
      </c>
      <c r="B12" s="7" t="s">
        <v>103</v>
      </c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15" spans="1:6" x14ac:dyDescent="0.3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43168</v>
      </c>
      <c r="B16" s="1" t="s">
        <v>6</v>
      </c>
      <c r="C16" s="1" t="s">
        <v>7</v>
      </c>
      <c r="D16" s="1" t="s">
        <v>8</v>
      </c>
      <c r="E16" s="3">
        <v>60000</v>
      </c>
      <c r="F16" s="3">
        <v>69622</v>
      </c>
    </row>
    <row r="17" spans="1:6" x14ac:dyDescent="0.3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21"/>
  <sheetViews>
    <sheetView workbookViewId="0">
      <selection activeCell="C21" sqref="C21"/>
    </sheetView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6" t="s">
        <v>2</v>
      </c>
      <c r="B11" s="6" t="s">
        <v>5</v>
      </c>
      <c r="C11" s="5"/>
      <c r="D11" s="5"/>
      <c r="E11" s="5"/>
      <c r="F11" s="5"/>
    </row>
    <row r="12" spans="1:6" x14ac:dyDescent="0.3">
      <c r="A12" s="6" t="s">
        <v>7</v>
      </c>
      <c r="B12" s="6"/>
      <c r="C12" s="5"/>
      <c r="D12" s="5"/>
      <c r="E12" s="5"/>
      <c r="F12" s="5"/>
    </row>
    <row r="13" spans="1:6" x14ac:dyDescent="0.3">
      <c r="A13" s="6"/>
      <c r="B13" s="7" t="s">
        <v>104</v>
      </c>
      <c r="C13" s="5"/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44201</v>
      </c>
      <c r="B18" s="1" t="s">
        <v>9</v>
      </c>
      <c r="C18" s="1" t="s">
        <v>7</v>
      </c>
      <c r="D18" s="1" t="s">
        <v>10</v>
      </c>
      <c r="E18" s="3">
        <v>40000</v>
      </c>
      <c r="F18" s="3">
        <v>43514</v>
      </c>
    </row>
    <row r="19" spans="1:6" x14ac:dyDescent="0.3">
      <c r="A19" s="2">
        <v>42913</v>
      </c>
      <c r="B19" s="1" t="s">
        <v>11</v>
      </c>
      <c r="C19" s="1" t="s">
        <v>12</v>
      </c>
      <c r="D19" s="1" t="s">
        <v>8</v>
      </c>
      <c r="E19" s="3">
        <v>50000</v>
      </c>
      <c r="F19" s="3">
        <v>52208</v>
      </c>
    </row>
    <row r="20" spans="1:6" x14ac:dyDescent="0.3">
      <c r="A20" s="2">
        <v>43255</v>
      </c>
      <c r="B20" s="1" t="s">
        <v>15</v>
      </c>
      <c r="C20" s="1" t="s">
        <v>7</v>
      </c>
      <c r="D20" s="1" t="s">
        <v>8</v>
      </c>
      <c r="E20" s="3">
        <v>40000</v>
      </c>
      <c r="F20" s="3">
        <v>46453</v>
      </c>
    </row>
    <row r="21" spans="1:6" x14ac:dyDescent="0.3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9"/>
  <sheetViews>
    <sheetView workbookViewId="0">
      <selection activeCell="C21" sqref="C21"/>
    </sheetView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6" t="s">
        <v>3</v>
      </c>
    </row>
    <row r="12" spans="1:6" x14ac:dyDescent="0.3">
      <c r="A12" s="6" t="s">
        <v>14</v>
      </c>
    </row>
    <row r="13" spans="1:6" x14ac:dyDescent="0.3">
      <c r="A13" s="6" t="s">
        <v>10</v>
      </c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44201</v>
      </c>
      <c r="B17" s="1" t="s">
        <v>9</v>
      </c>
      <c r="C17" s="1" t="s">
        <v>7</v>
      </c>
      <c r="D17" s="1" t="s">
        <v>10</v>
      </c>
      <c r="E17" s="3">
        <v>40000</v>
      </c>
      <c r="F17" s="3">
        <v>43514</v>
      </c>
    </row>
    <row r="18" spans="1:6" x14ac:dyDescent="0.3">
      <c r="A18" s="2">
        <v>44167</v>
      </c>
      <c r="B18" s="1" t="s">
        <v>13</v>
      </c>
      <c r="C18" s="1" t="s">
        <v>12</v>
      </c>
      <c r="D18" s="1" t="s">
        <v>14</v>
      </c>
      <c r="E18" s="3">
        <v>70000</v>
      </c>
      <c r="F18" s="3">
        <v>60900</v>
      </c>
    </row>
    <row r="19" spans="1:6" x14ac:dyDescent="0.3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9"/>
  <sheetViews>
    <sheetView workbookViewId="0">
      <selection activeCell="C22" sqref="C22"/>
    </sheetView>
  </sheetViews>
  <sheetFormatPr defaultRowHeight="16.5" x14ac:dyDescent="0.3"/>
  <cols>
    <col min="1" max="1" width="11.125" bestFit="1" customWidth="1"/>
    <col min="2" max="2" width="10.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0" spans="1:6" x14ac:dyDescent="0.3">
      <c r="A10" s="8"/>
      <c r="B10" s="8"/>
      <c r="C10" s="8"/>
    </row>
    <row r="11" spans="1:6" x14ac:dyDescent="0.3">
      <c r="A11" s="6" t="s">
        <v>2</v>
      </c>
      <c r="B11" s="6" t="s">
        <v>5</v>
      </c>
      <c r="C11" s="8"/>
      <c r="E11" s="5"/>
      <c r="F11" s="5"/>
    </row>
    <row r="12" spans="1:6" x14ac:dyDescent="0.3">
      <c r="A12" s="6" t="s">
        <v>7</v>
      </c>
      <c r="B12" s="7" t="s">
        <v>105</v>
      </c>
      <c r="C12" s="8"/>
      <c r="D12" s="5"/>
      <c r="E12" s="5"/>
      <c r="F12" s="5"/>
    </row>
    <row r="13" spans="1:6" x14ac:dyDescent="0.3">
      <c r="A13" s="6" t="s">
        <v>12</v>
      </c>
      <c r="B13" s="7" t="s">
        <v>104</v>
      </c>
      <c r="C13" s="8"/>
      <c r="E13" s="5"/>
      <c r="F13" s="5"/>
    </row>
    <row r="14" spans="1:6" x14ac:dyDescent="0.3">
      <c r="A14" s="8"/>
      <c r="B14" s="8"/>
      <c r="C14" s="8"/>
    </row>
    <row r="15" spans="1:6" x14ac:dyDescent="0.3">
      <c r="A15" s="8"/>
      <c r="B15" s="8"/>
      <c r="C15" s="8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3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21"/>
  <sheetViews>
    <sheetView workbookViewId="0">
      <selection activeCell="F26" sqref="F26"/>
    </sheetView>
  </sheetViews>
  <sheetFormatPr defaultRowHeight="16.5" x14ac:dyDescent="0.3"/>
  <cols>
    <col min="1" max="1" width="11.125" bestFit="1" customWidth="1"/>
    <col min="3" max="3" width="10.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6" t="s">
        <v>5</v>
      </c>
      <c r="B11" s="6" t="s">
        <v>5</v>
      </c>
      <c r="C11" s="6" t="s">
        <v>4</v>
      </c>
      <c r="D11" s="5"/>
      <c r="E11" s="5"/>
      <c r="F11" s="5"/>
    </row>
    <row r="12" spans="1:6" x14ac:dyDescent="0.3">
      <c r="A12" s="7" t="s">
        <v>105</v>
      </c>
      <c r="B12" s="7" t="s">
        <v>104</v>
      </c>
      <c r="C12" s="6"/>
      <c r="D12" s="5"/>
      <c r="E12" s="5"/>
      <c r="F12" s="5"/>
    </row>
    <row r="13" spans="1:6" x14ac:dyDescent="0.3">
      <c r="A13" s="6"/>
      <c r="B13" s="6"/>
      <c r="C13" s="7" t="s">
        <v>103</v>
      </c>
      <c r="D13" s="5"/>
      <c r="E13" s="5"/>
      <c r="F13" s="5"/>
    </row>
    <row r="16" spans="1:6" x14ac:dyDescent="0.3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3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3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3">
      <c r="A19" s="2">
        <v>44167</v>
      </c>
      <c r="B19" s="1" t="s">
        <v>13</v>
      </c>
      <c r="C19" s="1" t="s">
        <v>12</v>
      </c>
      <c r="D19" s="1" t="s">
        <v>14</v>
      </c>
      <c r="E19" s="3">
        <v>70000</v>
      </c>
      <c r="F19" s="3">
        <v>60900</v>
      </c>
    </row>
    <row r="20" spans="1:6" x14ac:dyDescent="0.3">
      <c r="A20" s="2">
        <v>42989</v>
      </c>
      <c r="B20" s="1" t="s">
        <v>16</v>
      </c>
      <c r="C20" s="1" t="s">
        <v>12</v>
      </c>
      <c r="D20" s="1" t="s">
        <v>8</v>
      </c>
      <c r="E20" s="3">
        <v>60000</v>
      </c>
      <c r="F20" s="3">
        <v>66767</v>
      </c>
    </row>
    <row r="21" spans="1:6" x14ac:dyDescent="0.3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7"/>
  <sheetViews>
    <sheetView workbookViewId="0">
      <selection activeCell="A11" sqref="A11"/>
    </sheetView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1" t="s">
        <v>0</v>
      </c>
      <c r="B11" s="5"/>
      <c r="C11" s="5"/>
      <c r="D11" s="5"/>
      <c r="E11" s="5"/>
      <c r="F11" s="5"/>
    </row>
    <row r="12" spans="1:6" x14ac:dyDescent="0.3">
      <c r="A12" s="5" t="b">
        <f>MONTH(A2)=6</f>
        <v>0</v>
      </c>
      <c r="B12" s="5"/>
      <c r="C12" s="5"/>
      <c r="D12" s="5"/>
      <c r="E12" s="5"/>
      <c r="F12" s="5"/>
    </row>
    <row r="13" spans="1:6" x14ac:dyDescent="0.3">
      <c r="A13" s="5" t="s">
        <v>107</v>
      </c>
      <c r="B13" s="5"/>
      <c r="C13" s="5"/>
      <c r="D13" s="5"/>
      <c r="E13" s="5"/>
      <c r="F13" s="5"/>
    </row>
    <row r="15" spans="1:6" x14ac:dyDescent="0.3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42913</v>
      </c>
      <c r="B16" s="1" t="s">
        <v>11</v>
      </c>
      <c r="C16" s="1" t="s">
        <v>12</v>
      </c>
      <c r="D16" s="1" t="s">
        <v>8</v>
      </c>
      <c r="E16" s="3">
        <v>50000</v>
      </c>
      <c r="F16" s="3">
        <v>52208</v>
      </c>
    </row>
    <row r="17" spans="1:6" x14ac:dyDescent="0.3">
      <c r="A17" s="2">
        <v>43255</v>
      </c>
      <c r="B17" s="1" t="s">
        <v>15</v>
      </c>
      <c r="C17" s="1" t="s">
        <v>7</v>
      </c>
      <c r="D17" s="1" t="s">
        <v>8</v>
      </c>
      <c r="E17" s="3">
        <v>40000</v>
      </c>
      <c r="F17" s="3">
        <v>46453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8"/>
  <sheetViews>
    <sheetView workbookViewId="0">
      <selection activeCell="D6" sqref="D6"/>
    </sheetView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1" t="s">
        <v>2</v>
      </c>
      <c r="B11" s="1" t="s">
        <v>106</v>
      </c>
      <c r="C11" s="5"/>
      <c r="D11" s="5"/>
      <c r="E11" s="5"/>
      <c r="F11" s="5"/>
    </row>
    <row r="12" spans="1:6" x14ac:dyDescent="0.3">
      <c r="A12" s="1" t="s">
        <v>12</v>
      </c>
      <c r="B12" s="9" t="b">
        <f>$F2&gt;=AVERAGE($F$2:$F$8)</f>
        <v>1</v>
      </c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15" spans="1:6" x14ac:dyDescent="0.3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3">
      <c r="A16" s="2">
        <v>44167</v>
      </c>
      <c r="B16" s="1" t="s">
        <v>13</v>
      </c>
      <c r="C16" s="1" t="s">
        <v>12</v>
      </c>
      <c r="D16" s="1" t="s">
        <v>14</v>
      </c>
      <c r="E16" s="3">
        <v>70000</v>
      </c>
      <c r="F16" s="3">
        <v>60900</v>
      </c>
    </row>
    <row r="17" spans="1:6" x14ac:dyDescent="0.3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  <row r="18" spans="1:6" x14ac:dyDescent="0.3">
      <c r="A18" s="2">
        <v>44038</v>
      </c>
      <c r="B18" s="1" t="s">
        <v>17</v>
      </c>
      <c r="C18" s="1" t="s">
        <v>12</v>
      </c>
      <c r="D18" s="1" t="s">
        <v>10</v>
      </c>
      <c r="E18" s="3">
        <v>50000</v>
      </c>
      <c r="F18" s="3">
        <v>58081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24"/>
  <sheetViews>
    <sheetView workbookViewId="0">
      <selection activeCell="C25" sqref="C25"/>
    </sheetView>
  </sheetViews>
  <sheetFormatPr defaultRowHeight="16.5" x14ac:dyDescent="0.3"/>
  <cols>
    <col min="1" max="1" width="10.375" bestFit="1" customWidth="1"/>
    <col min="2" max="2" width="20.875" bestFit="1" customWidth="1"/>
    <col min="5" max="5" width="10.375" bestFit="1" customWidth="1"/>
  </cols>
  <sheetData>
    <row r="1" spans="1:6" x14ac:dyDescent="0.3">
      <c r="A1" s="12" t="s">
        <v>19</v>
      </c>
      <c r="B1" s="12"/>
      <c r="C1" s="12"/>
      <c r="D1" s="12"/>
      <c r="E1" s="12"/>
      <c r="F1" s="12"/>
    </row>
    <row r="3" spans="1:6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3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3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3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3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3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3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3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3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3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3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3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3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6" x14ac:dyDescent="0.3">
      <c r="A17" s="1" t="s">
        <v>20</v>
      </c>
      <c r="B17" s="1" t="s">
        <v>25</v>
      </c>
      <c r="C17" s="5"/>
    </row>
    <row r="18" spans="1:6" x14ac:dyDescent="0.3">
      <c r="A18" s="1" t="s">
        <v>26</v>
      </c>
      <c r="B18" s="5" t="s">
        <v>108</v>
      </c>
      <c r="C18" s="5"/>
    </row>
    <row r="19" spans="1:6" x14ac:dyDescent="0.3">
      <c r="B19" s="5"/>
      <c r="C19" s="5"/>
    </row>
    <row r="21" spans="1:6" x14ac:dyDescent="0.3">
      <c r="A21" s="1" t="s">
        <v>20</v>
      </c>
      <c r="B21" s="1" t="s">
        <v>21</v>
      </c>
      <c r="C21" s="1" t="s">
        <v>22</v>
      </c>
      <c r="D21" s="1" t="s">
        <v>23</v>
      </c>
      <c r="E21" s="1" t="s">
        <v>24</v>
      </c>
      <c r="F21" s="1" t="s">
        <v>25</v>
      </c>
    </row>
    <row r="22" spans="1:6" x14ac:dyDescent="0.3">
      <c r="A22" s="1" t="s">
        <v>26</v>
      </c>
      <c r="B22" s="1" t="s">
        <v>27</v>
      </c>
      <c r="C22" s="1" t="s">
        <v>18</v>
      </c>
      <c r="D22" s="3">
        <v>18500</v>
      </c>
      <c r="E22" s="3">
        <v>29</v>
      </c>
      <c r="F22" s="3">
        <v>1551</v>
      </c>
    </row>
    <row r="23" spans="1:6" x14ac:dyDescent="0.3">
      <c r="A23" s="1" t="s">
        <v>26</v>
      </c>
      <c r="B23" s="1" t="s">
        <v>40</v>
      </c>
      <c r="C23" s="1" t="s">
        <v>41</v>
      </c>
      <c r="D23" s="3">
        <v>19000</v>
      </c>
      <c r="E23" s="3">
        <v>38</v>
      </c>
      <c r="F23" s="3">
        <v>1238</v>
      </c>
    </row>
    <row r="24" spans="1:6" x14ac:dyDescent="0.3">
      <c r="A24" s="1" t="s">
        <v>26</v>
      </c>
      <c r="B24" s="1" t="s">
        <v>52</v>
      </c>
      <c r="C24" s="1" t="s">
        <v>53</v>
      </c>
      <c r="D24" s="3">
        <v>16000</v>
      </c>
      <c r="E24" s="3">
        <v>183</v>
      </c>
      <c r="F24" s="3">
        <v>1156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27"/>
  <sheetViews>
    <sheetView workbookViewId="0">
      <selection activeCell="A22" sqref="A22:A27"/>
    </sheetView>
  </sheetViews>
  <sheetFormatPr defaultRowHeight="16.5" x14ac:dyDescent="0.3"/>
  <cols>
    <col min="6" max="6" width="10.875" bestFit="1" customWidth="1"/>
  </cols>
  <sheetData>
    <row r="1" spans="1:6" x14ac:dyDescent="0.3">
      <c r="A1" s="12" t="s">
        <v>54</v>
      </c>
      <c r="B1" s="12"/>
      <c r="C1" s="12"/>
      <c r="D1" s="12"/>
      <c r="E1" s="12"/>
      <c r="F1" s="12"/>
    </row>
    <row r="3" spans="1:6" x14ac:dyDescent="0.3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3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3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3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3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3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3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3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3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3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3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3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3">
      <c r="A15" s="10" t="s">
        <v>70</v>
      </c>
      <c r="B15" s="11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6" spans="1:6" x14ac:dyDescent="0.3">
      <c r="A16" s="8"/>
      <c r="B16" s="8"/>
    </row>
    <row r="17" spans="1:6" x14ac:dyDescent="0.3">
      <c r="A17" s="6" t="s">
        <v>56</v>
      </c>
      <c r="B17" s="6" t="s">
        <v>106</v>
      </c>
      <c r="C17" s="5"/>
    </row>
    <row r="18" spans="1:6" x14ac:dyDescent="0.3">
      <c r="A18" s="6" t="s">
        <v>109</v>
      </c>
      <c r="B18" s="8"/>
      <c r="C18" s="5"/>
    </row>
    <row r="19" spans="1:6" x14ac:dyDescent="0.3">
      <c r="A19" s="6"/>
      <c r="B19" s="6" t="b">
        <f>E4&lt;AVERAGE($E$4:$E$15)</f>
        <v>0</v>
      </c>
      <c r="C19" s="5"/>
    </row>
    <row r="21" spans="1:6" x14ac:dyDescent="0.3">
      <c r="A21" s="1" t="s">
        <v>55</v>
      </c>
      <c r="B21" s="1" t="s">
        <v>23</v>
      </c>
      <c r="C21" s="1" t="s">
        <v>56</v>
      </c>
      <c r="D21" s="1" t="s">
        <v>25</v>
      </c>
      <c r="E21" s="1" t="s">
        <v>57</v>
      </c>
      <c r="F21" s="1" t="s">
        <v>58</v>
      </c>
    </row>
    <row r="22" spans="1:6" x14ac:dyDescent="0.3">
      <c r="A22" s="1" t="s">
        <v>60</v>
      </c>
      <c r="B22" s="3">
        <v>18500</v>
      </c>
      <c r="C22" s="1">
        <v>250</v>
      </c>
      <c r="D22" s="1">
        <v>231</v>
      </c>
      <c r="E22" s="1">
        <v>19</v>
      </c>
      <c r="F22" s="3">
        <v>4273500</v>
      </c>
    </row>
    <row r="23" spans="1:6" x14ac:dyDescent="0.3">
      <c r="A23" s="1" t="s">
        <v>61</v>
      </c>
      <c r="B23" s="3">
        <v>16000</v>
      </c>
      <c r="C23" s="1">
        <v>450</v>
      </c>
      <c r="D23" s="1">
        <v>372</v>
      </c>
      <c r="E23" s="1">
        <v>78</v>
      </c>
      <c r="F23" s="3">
        <v>5952000</v>
      </c>
    </row>
    <row r="24" spans="1:6" x14ac:dyDescent="0.3">
      <c r="A24" s="1" t="s">
        <v>63</v>
      </c>
      <c r="B24" s="3">
        <v>22000</v>
      </c>
      <c r="C24" s="1">
        <v>200</v>
      </c>
      <c r="D24" s="1">
        <v>165</v>
      </c>
      <c r="E24" s="1">
        <v>35</v>
      </c>
      <c r="F24" s="3">
        <v>3630000</v>
      </c>
    </row>
    <row r="25" spans="1:6" x14ac:dyDescent="0.3">
      <c r="A25" s="1" t="s">
        <v>64</v>
      </c>
      <c r="B25" s="3">
        <v>18000</v>
      </c>
      <c r="C25" s="1">
        <v>300</v>
      </c>
      <c r="D25" s="1">
        <v>284</v>
      </c>
      <c r="E25" s="1">
        <v>16</v>
      </c>
      <c r="F25" s="3">
        <v>5112000</v>
      </c>
    </row>
    <row r="26" spans="1:6" x14ac:dyDescent="0.3">
      <c r="A26" s="1" t="s">
        <v>66</v>
      </c>
      <c r="B26" s="3">
        <v>19000</v>
      </c>
      <c r="C26" s="1">
        <v>400</v>
      </c>
      <c r="D26" s="1">
        <v>317</v>
      </c>
      <c r="E26" s="1">
        <v>83</v>
      </c>
      <c r="F26" s="3">
        <v>6023000</v>
      </c>
    </row>
    <row r="27" spans="1:6" x14ac:dyDescent="0.3">
      <c r="A27" s="1" t="s">
        <v>69</v>
      </c>
      <c r="B27" s="3">
        <v>25000</v>
      </c>
      <c r="C27" s="1">
        <v>350</v>
      </c>
      <c r="D27" s="1">
        <v>319</v>
      </c>
      <c r="E27" s="1">
        <v>31</v>
      </c>
      <c r="F27" s="3">
        <v>7975000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9"/>
  <sheetViews>
    <sheetView workbookViewId="0">
      <selection activeCell="A24" sqref="A24:A28"/>
    </sheetView>
  </sheetViews>
  <sheetFormatPr defaultRowHeight="16.5" x14ac:dyDescent="0.3"/>
  <sheetData>
    <row r="1" spans="1:6" x14ac:dyDescent="0.3">
      <c r="A1" s="12" t="s">
        <v>71</v>
      </c>
      <c r="B1" s="12"/>
      <c r="C1" s="12"/>
      <c r="D1" s="12"/>
      <c r="E1" s="12"/>
      <c r="F1" s="12"/>
    </row>
    <row r="3" spans="1:6" x14ac:dyDescent="0.3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3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3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3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3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3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3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3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3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3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3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3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3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6" x14ac:dyDescent="0.3">
      <c r="A18" s="1" t="s">
        <v>74</v>
      </c>
      <c r="B18" s="1" t="s">
        <v>74</v>
      </c>
      <c r="C18" s="1" t="s">
        <v>75</v>
      </c>
    </row>
    <row r="19" spans="1:6" x14ac:dyDescent="0.3">
      <c r="A19" s="5" t="s">
        <v>110</v>
      </c>
      <c r="B19" s="5" t="s">
        <v>111</v>
      </c>
      <c r="C19" s="5"/>
    </row>
    <row r="20" spans="1:6" x14ac:dyDescent="0.3">
      <c r="A20" s="5"/>
      <c r="B20" s="5"/>
      <c r="C20" s="5" t="s">
        <v>112</v>
      </c>
    </row>
    <row r="21" spans="1:6" x14ac:dyDescent="0.3">
      <c r="A21" s="5"/>
      <c r="B21" s="5"/>
      <c r="C21" s="5"/>
    </row>
    <row r="23" spans="1:6" x14ac:dyDescent="0.3">
      <c r="A23" s="1" t="s">
        <v>72</v>
      </c>
      <c r="B23" s="1" t="s">
        <v>73</v>
      </c>
      <c r="C23" s="1" t="s">
        <v>74</v>
      </c>
      <c r="D23" s="1" t="s">
        <v>75</v>
      </c>
      <c r="E23" s="1" t="s">
        <v>76</v>
      </c>
      <c r="F23" s="1" t="s">
        <v>77</v>
      </c>
    </row>
    <row r="24" spans="1:6" x14ac:dyDescent="0.3">
      <c r="A24" s="1" t="s">
        <v>79</v>
      </c>
      <c r="B24" s="1">
        <v>94</v>
      </c>
      <c r="C24" s="1">
        <v>96</v>
      </c>
      <c r="D24" s="1">
        <v>96</v>
      </c>
      <c r="E24" s="1">
        <v>286</v>
      </c>
      <c r="F24" s="4">
        <v>95.333333333333329</v>
      </c>
    </row>
    <row r="25" spans="1:6" x14ac:dyDescent="0.3">
      <c r="A25" s="1" t="s">
        <v>81</v>
      </c>
      <c r="B25" s="1">
        <v>81</v>
      </c>
      <c r="C25" s="1">
        <v>86</v>
      </c>
      <c r="D25" s="1">
        <v>85</v>
      </c>
      <c r="E25" s="1">
        <v>252</v>
      </c>
      <c r="F25" s="4">
        <v>84</v>
      </c>
    </row>
    <row r="26" spans="1:6" x14ac:dyDescent="0.3">
      <c r="A26" s="1" t="s">
        <v>82</v>
      </c>
      <c r="B26" s="1">
        <v>86</v>
      </c>
      <c r="C26" s="1">
        <v>88</v>
      </c>
      <c r="D26" s="1">
        <v>91</v>
      </c>
      <c r="E26" s="1">
        <v>265</v>
      </c>
      <c r="F26" s="4">
        <v>88.333333333333329</v>
      </c>
    </row>
    <row r="27" spans="1:6" x14ac:dyDescent="0.3">
      <c r="A27" s="1" t="s">
        <v>83</v>
      </c>
      <c r="B27" s="1">
        <v>94</v>
      </c>
      <c r="C27" s="1">
        <v>94</v>
      </c>
      <c r="D27" s="1">
        <v>95</v>
      </c>
      <c r="E27" s="1">
        <v>283</v>
      </c>
      <c r="F27" s="4">
        <v>94.333333333333329</v>
      </c>
    </row>
    <row r="28" spans="1:6" x14ac:dyDescent="0.3">
      <c r="A28" s="1" t="s">
        <v>84</v>
      </c>
      <c r="B28" s="1">
        <v>92</v>
      </c>
      <c r="C28" s="1">
        <v>96</v>
      </c>
      <c r="D28" s="1">
        <v>93</v>
      </c>
      <c r="E28" s="1">
        <v>281</v>
      </c>
      <c r="F28" s="4">
        <v>93.666666666666671</v>
      </c>
    </row>
    <row r="29" spans="1:6" x14ac:dyDescent="0.3">
      <c r="A29" s="1" t="s">
        <v>88</v>
      </c>
      <c r="B29" s="1">
        <v>86</v>
      </c>
      <c r="C29" s="1">
        <v>85</v>
      </c>
      <c r="D29" s="1">
        <v>81</v>
      </c>
      <c r="E29" s="1">
        <v>252</v>
      </c>
      <c r="F29" s="4">
        <v>84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24"/>
  <sheetViews>
    <sheetView workbookViewId="0">
      <selection activeCell="E26" sqref="E26"/>
    </sheetView>
  </sheetViews>
  <sheetFormatPr defaultRowHeight="16.5" x14ac:dyDescent="0.3"/>
  <cols>
    <col min="3" max="5" width="9.125" bestFit="1" customWidth="1"/>
  </cols>
  <sheetData>
    <row r="1" spans="1:5" x14ac:dyDescent="0.3">
      <c r="A1" s="12" t="s">
        <v>90</v>
      </c>
      <c r="B1" s="12"/>
      <c r="C1" s="12"/>
      <c r="D1" s="12"/>
      <c r="E1" s="12"/>
    </row>
    <row r="3" spans="1:5" x14ac:dyDescent="0.3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3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3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3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3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3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3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3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3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3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3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3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3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4" x14ac:dyDescent="0.3">
      <c r="A17" s="1" t="s">
        <v>92</v>
      </c>
      <c r="B17" s="1" t="s">
        <v>95</v>
      </c>
      <c r="C17" s="5"/>
    </row>
    <row r="18" spans="1:4" x14ac:dyDescent="0.3">
      <c r="A18" s="1" t="s">
        <v>99</v>
      </c>
      <c r="B18" s="5" t="s">
        <v>113</v>
      </c>
      <c r="C18" s="5"/>
    </row>
    <row r="19" spans="1:4" x14ac:dyDescent="0.3">
      <c r="A19" s="1" t="s">
        <v>97</v>
      </c>
      <c r="B19" s="5" t="s">
        <v>114</v>
      </c>
      <c r="C19" s="5"/>
    </row>
    <row r="21" spans="1:4" x14ac:dyDescent="0.3">
      <c r="A21" s="1" t="s">
        <v>91</v>
      </c>
      <c r="B21" s="1" t="s">
        <v>92</v>
      </c>
      <c r="C21" s="1" t="s">
        <v>93</v>
      </c>
      <c r="D21" s="1" t="s">
        <v>95</v>
      </c>
    </row>
    <row r="22" spans="1:4" x14ac:dyDescent="0.3">
      <c r="A22" s="1" t="s">
        <v>96</v>
      </c>
      <c r="B22" s="1" t="s">
        <v>99</v>
      </c>
      <c r="C22" s="3">
        <v>812700</v>
      </c>
      <c r="D22" s="3">
        <v>13816</v>
      </c>
    </row>
    <row r="23" spans="1:4" x14ac:dyDescent="0.3">
      <c r="A23" s="1" t="s">
        <v>101</v>
      </c>
      <c r="B23" s="1" t="s">
        <v>97</v>
      </c>
      <c r="C23" s="3">
        <v>369000</v>
      </c>
      <c r="D23" s="3">
        <v>6642</v>
      </c>
    </row>
    <row r="24" spans="1:4" x14ac:dyDescent="0.3">
      <c r="A24" s="1" t="s">
        <v>102</v>
      </c>
      <c r="B24" s="1" t="s">
        <v>97</v>
      </c>
      <c r="C24" s="3">
        <v>358700</v>
      </c>
      <c r="D24" s="3">
        <v>6457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22</vt:i4>
      </vt:variant>
    </vt:vector>
  </HeadingPairs>
  <TitlesOfParts>
    <vt:vector size="33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  <vt:lpstr>'02_유형1'!Criteria</vt:lpstr>
      <vt:lpstr>'02_유형2'!Criteria</vt:lpstr>
      <vt:lpstr>'03_유형1'!Criteria</vt:lpstr>
      <vt:lpstr>'03_유형2'!Criteria</vt:lpstr>
      <vt:lpstr>'04_유형1'!Criteria</vt:lpstr>
      <vt:lpstr>'04_유형2'!Criteria</vt:lpstr>
      <vt:lpstr>기출2!Criteria</vt:lpstr>
      <vt:lpstr>기출3!Criteria</vt:lpstr>
      <vt:lpstr>기출4!Criteria</vt:lpstr>
      <vt:lpstr>대표기출문제_기출1!Criteria</vt:lpstr>
      <vt:lpstr>출제유형_01_유형1!Criteria</vt:lpstr>
      <vt:lpstr>'02_유형1'!Extract</vt:lpstr>
      <vt:lpstr>'02_유형2'!Extract</vt:lpstr>
      <vt:lpstr>'03_유형1'!Extract</vt:lpstr>
      <vt:lpstr>'03_유형2'!Extract</vt:lpstr>
      <vt:lpstr>'04_유형1'!Extract</vt:lpstr>
      <vt:lpstr>'04_유형2'!Extract</vt:lpstr>
      <vt:lpstr>기출2!Extract</vt:lpstr>
      <vt:lpstr>기출3!Extract</vt:lpstr>
      <vt:lpstr>기출4!Extract</vt:lpstr>
      <vt:lpstr>대표기출문제_기출1!Extract</vt:lpstr>
      <vt:lpstr>출제유형_01_유형1!Extract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2025-11-30T09:24:26Z</dcterms:modified>
</cp:coreProperties>
</file>