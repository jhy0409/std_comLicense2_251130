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/>
  <workbookPr defaultThemeVersion="166925"/>
  <mc:AlternateContent xmlns:mc="http://schemas.openxmlformats.org/markup-compatibility/2006">
    <mc:Choice Requires="x15">
      <x15ac:absPath xmlns:x15ac="http://schemas.microsoft.com/office/spreadsheetml/2010/11/ac" url="E:\1_작업중\컴활2급_251130\기능\"/>
    </mc:Choice>
  </mc:AlternateContent>
  <xr:revisionPtr revIDLastSave="0" documentId="13_ncr:1_{6B211879-D85D-4857-8CBC-2FC89F2EE5C6}" xr6:coauthVersionLast="47" xr6:coauthVersionMax="47" xr10:uidLastSave="{00000000-0000-0000-0000-000000000000}"/>
  <bookViews>
    <workbookView xWindow="135" yWindow="3420" windowWidth="14460" windowHeight="11325" tabRatio="926" activeTab="1" xr2:uid="{1EA7D4BC-0E71-467A-81F4-8371BAA0CFDB}"/>
  </bookViews>
  <sheets>
    <sheet name="출제유형_01_유형1~05_유형2" sheetId="6" r:id="rId1"/>
    <sheet name="대표기출문제_기출1~6" sheetId="1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C32" i="1" l="1"/>
  <c r="D21" i="1"/>
  <c r="H32" i="1"/>
  <c r="H21" i="1"/>
  <c r="I10" i="1"/>
  <c r="D10" i="1"/>
  <c r="E15" i="6"/>
  <c r="E14" i="6"/>
  <c r="E13" i="6"/>
  <c r="E12" i="6"/>
  <c r="E11" i="6"/>
  <c r="E10" i="6"/>
</calcChain>
</file>

<file path=xl/sharedStrings.xml><?xml version="1.0" encoding="utf-8"?>
<sst xmlns="http://schemas.openxmlformats.org/spreadsheetml/2006/main" count="174" uniqueCount="109">
  <si>
    <t>[표1]</t>
  </si>
  <si>
    <t>직위</t>
  </si>
  <si>
    <t>부서명</t>
  </si>
  <si>
    <t>기본급</t>
  </si>
  <si>
    <t>인사점수</t>
  </si>
  <si>
    <t>성명</t>
  </si>
  <si>
    <t>&lt;조건&gt;</t>
  </si>
  <si>
    <t>과장</t>
  </si>
  <si>
    <t>생산부</t>
  </si>
  <si>
    <t>안정환</t>
  </si>
  <si>
    <t>대리</t>
  </si>
  <si>
    <t>김강인</t>
  </si>
  <si>
    <t>사원</t>
  </si>
  <si>
    <t>김은주</t>
  </si>
  <si>
    <t>영업부</t>
  </si>
  <si>
    <t>유애리</t>
  </si>
  <si>
    <t>&lt;조건2&gt;</t>
  </si>
  <si>
    <t>이주영</t>
  </si>
  <si>
    <t>정민기</t>
  </si>
  <si>
    <t>한영웅</t>
  </si>
  <si>
    <t>생산부 기본급 합계</t>
  </si>
  <si>
    <t>&lt;조건3&gt;</t>
  </si>
  <si>
    <t>대리 인사점수 평균</t>
  </si>
  <si>
    <t>영업부 성적우수 직원수</t>
  </si>
  <si>
    <t>과장 직원수</t>
  </si>
  <si>
    <t>영업부 인사점수 최고-최저 차이</t>
  </si>
  <si>
    <t>인사점수가 가장 높은 영업부 직원</t>
  </si>
  <si>
    <t>총점</t>
  </si>
  <si>
    <t>성별</t>
  </si>
  <si>
    <t>남</t>
  </si>
  <si>
    <t>여</t>
  </si>
  <si>
    <t>PC주변기기판매</t>
  </si>
  <si>
    <t>[표2]</t>
  </si>
  <si>
    <t>직원별판매현황</t>
  </si>
  <si>
    <t>지점</t>
  </si>
  <si>
    <t>제품명</t>
  </si>
  <si>
    <t>입고량</t>
  </si>
  <si>
    <t>판매량</t>
  </si>
  <si>
    <t>서교점</t>
  </si>
  <si>
    <t>마우스</t>
  </si>
  <si>
    <t>신하은</t>
  </si>
  <si>
    <t>판매1부</t>
  </si>
  <si>
    <t>합정점</t>
  </si>
  <si>
    <t>키보드</t>
  </si>
  <si>
    <t>한수인</t>
  </si>
  <si>
    <t>망원점</t>
  </si>
  <si>
    <t>스피커</t>
  </si>
  <si>
    <t>김원준</t>
  </si>
  <si>
    <t>판매2부</t>
  </si>
  <si>
    <t>성산점</t>
  </si>
  <si>
    <t>조동후</t>
  </si>
  <si>
    <t>공덕점</t>
  </si>
  <si>
    <t>홍은성</t>
  </si>
  <si>
    <t>상암점</t>
  </si>
  <si>
    <t>김영민</t>
  </si>
  <si>
    <t>판매3부</t>
  </si>
  <si>
    <t>연남점</t>
  </si>
  <si>
    <t>남지영</t>
  </si>
  <si>
    <t>마우스 총판매량</t>
  </si>
  <si>
    <t>판매2부 평균 판매량</t>
  </si>
  <si>
    <t>[표3]</t>
  </si>
  <si>
    <t>과수원별수확현황</t>
  </si>
  <si>
    <t>[표4]</t>
  </si>
  <si>
    <t>음료별칼로리</t>
  </si>
  <si>
    <t>과수원</t>
  </si>
  <si>
    <t>과일</t>
  </si>
  <si>
    <t>나무수</t>
  </si>
  <si>
    <t>수확량</t>
  </si>
  <si>
    <t>번호</t>
  </si>
  <si>
    <t>종류</t>
  </si>
  <si>
    <t>칼로리</t>
  </si>
  <si>
    <t>1호</t>
  </si>
  <si>
    <t>사과</t>
  </si>
  <si>
    <t>커피</t>
  </si>
  <si>
    <t>2호</t>
  </si>
  <si>
    <t>복숭아</t>
  </si>
  <si>
    <t>요구르트</t>
  </si>
  <si>
    <t>3호</t>
  </si>
  <si>
    <t>우유</t>
  </si>
  <si>
    <t>4호</t>
  </si>
  <si>
    <t>당근쥬스</t>
  </si>
  <si>
    <t>5호</t>
  </si>
  <si>
    <t>배</t>
  </si>
  <si>
    <t>사이다</t>
  </si>
  <si>
    <t>6호</t>
  </si>
  <si>
    <t>실론티</t>
  </si>
  <si>
    <t>7호</t>
  </si>
  <si>
    <t>수정과</t>
  </si>
  <si>
    <t>사과 평균 수확량</t>
  </si>
  <si>
    <t>음료개수</t>
  </si>
  <si>
    <t>[표5]</t>
  </si>
  <si>
    <t>수학경시대회결과</t>
  </si>
  <si>
    <t>[표6]</t>
  </si>
  <si>
    <t>중간고사결과</t>
  </si>
  <si>
    <t>응시번호</t>
  </si>
  <si>
    <t>학교명</t>
  </si>
  <si>
    <t>군자중</t>
  </si>
  <si>
    <t>이태원</t>
  </si>
  <si>
    <t>장곡중</t>
  </si>
  <si>
    <t>박성혜</t>
  </si>
  <si>
    <t>이광수</t>
  </si>
  <si>
    <t>김지민</t>
  </si>
  <si>
    <t>진태현</t>
  </si>
  <si>
    <t>조현우</t>
  </si>
  <si>
    <t>강신영</t>
  </si>
  <si>
    <t>장곡중 최대-최소값</t>
  </si>
  <si>
    <t>남녀 최고 총점 평균</t>
  </si>
  <si>
    <t>&gt;=90</t>
    <phoneticPr fontId="1" type="noConversion"/>
  </si>
  <si>
    <t>&gt;=100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</si>
</sst>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1" formatCode="_-* #,##0_-;\-* #,##0_-;_-* &quot;-&quot;_-;_-@_-"/>
    <numFmt numFmtId="178" formatCode="0.0"/>
  </numFmts>
  <fonts count="6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0"/>
      <color theme="1"/>
      <name val="맑은 고딕"/>
      <family val="2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2">
    <xf numFmtId="0" fontId="0" fillId="0" borderId="0">
      <alignment vertical="center"/>
    </xf>
    <xf numFmtId="41" fontId="2" fillId="0" borderId="0" applyFont="0" applyFill="0" applyBorder="0" applyAlignment="0" applyProtection="0">
      <alignment vertical="center"/>
    </xf>
  </cellStyleXfs>
  <cellXfs count="16">
    <xf numFmtId="0" fontId="0" fillId="0" borderId="0" xfId="0">
      <alignment vertical="center"/>
    </xf>
    <xf numFmtId="0" fontId="3" fillId="0" borderId="0" xfId="0" applyFont="1">
      <alignment vertical="center"/>
    </xf>
    <xf numFmtId="0" fontId="0" fillId="0" borderId="1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41" fontId="0" fillId="0" borderId="1" xfId="1" applyFont="1" applyBorder="1" applyAlignment="1">
      <alignment horizontal="center" vertical="center"/>
    </xf>
    <xf numFmtId="0" fontId="4" fillId="0" borderId="0" xfId="0" applyFont="1">
      <alignment vertical="center"/>
    </xf>
    <xf numFmtId="0" fontId="5" fillId="0" borderId="0" xfId="0" applyFont="1">
      <alignment vertical="center"/>
    </xf>
    <xf numFmtId="0" fontId="0" fillId="0" borderId="2" xfId="0" applyBorder="1" applyAlignment="1">
      <alignment horizontal="center" vertical="center"/>
    </xf>
    <xf numFmtId="0" fontId="0" fillId="2" borderId="3" xfId="0" applyFill="1" applyBorder="1" applyAlignment="1">
      <alignment horizontal="center" vertical="center"/>
    </xf>
    <xf numFmtId="0" fontId="0" fillId="2" borderId="4" xfId="0" applyFill="1" applyBorder="1" applyAlignment="1">
      <alignment horizontal="center" vertical="center"/>
    </xf>
    <xf numFmtId="0" fontId="0" fillId="2" borderId="5" xfId="0" applyFill="1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41" fontId="0" fillId="0" borderId="1" xfId="1" applyNumberFormat="1" applyFont="1" applyBorder="1" applyAlignment="1">
      <alignment horizontal="center" vertical="center"/>
    </xf>
    <xf numFmtId="178" fontId="0" fillId="0" borderId="1" xfId="0" applyNumberFormat="1" applyBorder="1" applyAlignment="1">
      <alignment horizontal="center" vertical="center"/>
    </xf>
    <xf numFmtId="41" fontId="0" fillId="0" borderId="1" xfId="1" applyFont="1" applyFill="1" applyBorder="1" applyAlignment="1">
      <alignment horizontal="center" vertical="center"/>
    </xf>
  </cellXfs>
  <cellStyles count="2">
    <cellStyle name="쉼표 [0]" xfId="1" builtinId="6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E6AACF-E355-4D8E-B511-605B19A8AFF8}">
  <dimension ref="A1:H15"/>
  <sheetViews>
    <sheetView workbookViewId="0">
      <selection activeCell="E17" sqref="E17"/>
    </sheetView>
  </sheetViews>
  <sheetFormatPr defaultRowHeight="16.5" x14ac:dyDescent="0.3"/>
  <cols>
    <col min="1" max="2" width="7.125" customWidth="1"/>
    <col min="3" max="3" width="10.625" bestFit="1" customWidth="1"/>
    <col min="5" max="5" width="10.875" bestFit="1" customWidth="1"/>
    <col min="6" max="6" width="5.625" customWidth="1"/>
  </cols>
  <sheetData>
    <row r="1" spans="1:8" x14ac:dyDescent="0.3">
      <c r="A1" s="1" t="s">
        <v>0</v>
      </c>
    </row>
    <row r="2" spans="1:8" x14ac:dyDescent="0.3">
      <c r="A2" s="2" t="s">
        <v>1</v>
      </c>
      <c r="B2" s="2" t="s">
        <v>2</v>
      </c>
      <c r="C2" s="2" t="s">
        <v>3</v>
      </c>
      <c r="D2" s="2" t="s">
        <v>4</v>
      </c>
      <c r="E2" s="2" t="s">
        <v>5</v>
      </c>
      <c r="G2" s="3" t="s">
        <v>6</v>
      </c>
    </row>
    <row r="3" spans="1:8" x14ac:dyDescent="0.3">
      <c r="A3" s="2" t="s">
        <v>7</v>
      </c>
      <c r="B3" s="2" t="s">
        <v>8</v>
      </c>
      <c r="C3" s="4">
        <v>3516500</v>
      </c>
      <c r="D3" s="2">
        <v>86</v>
      </c>
      <c r="E3" s="2" t="s">
        <v>9</v>
      </c>
      <c r="G3" s="2" t="s">
        <v>1</v>
      </c>
    </row>
    <row r="4" spans="1:8" x14ac:dyDescent="0.3">
      <c r="A4" s="2" t="s">
        <v>10</v>
      </c>
      <c r="B4" s="2" t="s">
        <v>8</v>
      </c>
      <c r="C4" s="4">
        <v>3168800</v>
      </c>
      <c r="D4" s="2">
        <v>92</v>
      </c>
      <c r="E4" s="2" t="s">
        <v>11</v>
      </c>
      <c r="G4" s="2" t="s">
        <v>10</v>
      </c>
    </row>
    <row r="5" spans="1:8" x14ac:dyDescent="0.3">
      <c r="A5" s="2" t="s">
        <v>12</v>
      </c>
      <c r="B5" s="2" t="s">
        <v>8</v>
      </c>
      <c r="C5" s="4">
        <v>2535100</v>
      </c>
      <c r="D5" s="2">
        <v>91</v>
      </c>
      <c r="E5" s="2" t="s">
        <v>13</v>
      </c>
    </row>
    <row r="6" spans="1:8" x14ac:dyDescent="0.3">
      <c r="A6" s="2" t="s">
        <v>7</v>
      </c>
      <c r="B6" s="2" t="s">
        <v>14</v>
      </c>
      <c r="C6" s="4">
        <v>3732900</v>
      </c>
      <c r="D6" s="2">
        <v>95</v>
      </c>
      <c r="E6" s="2" t="s">
        <v>15</v>
      </c>
      <c r="G6" s="7" t="s">
        <v>16</v>
      </c>
      <c r="H6" s="7"/>
    </row>
    <row r="7" spans="1:8" x14ac:dyDescent="0.3">
      <c r="A7" s="2" t="s">
        <v>10</v>
      </c>
      <c r="B7" s="2" t="s">
        <v>14</v>
      </c>
      <c r="C7" s="4">
        <v>3125200</v>
      </c>
      <c r="D7" s="2">
        <v>89</v>
      </c>
      <c r="E7" s="2" t="s">
        <v>17</v>
      </c>
      <c r="G7" s="2" t="s">
        <v>2</v>
      </c>
      <c r="H7" s="2" t="s">
        <v>4</v>
      </c>
    </row>
    <row r="8" spans="1:8" x14ac:dyDescent="0.3">
      <c r="A8" s="2" t="s">
        <v>10</v>
      </c>
      <c r="B8" s="2" t="s">
        <v>14</v>
      </c>
      <c r="C8" s="4">
        <v>3056100</v>
      </c>
      <c r="D8" s="2">
        <v>81</v>
      </c>
      <c r="E8" s="2" t="s">
        <v>18</v>
      </c>
      <c r="G8" s="2" t="s">
        <v>14</v>
      </c>
      <c r="H8" s="2" t="s">
        <v>107</v>
      </c>
    </row>
    <row r="9" spans="1:8" x14ac:dyDescent="0.3">
      <c r="A9" s="2" t="s">
        <v>12</v>
      </c>
      <c r="B9" s="2" t="s">
        <v>14</v>
      </c>
      <c r="C9" s="4">
        <v>2450700</v>
      </c>
      <c r="D9" s="2">
        <v>90</v>
      </c>
      <c r="E9" s="2" t="s">
        <v>19</v>
      </c>
    </row>
    <row r="10" spans="1:8" x14ac:dyDescent="0.3">
      <c r="A10" s="8" t="s">
        <v>20</v>
      </c>
      <c r="B10" s="9"/>
      <c r="C10" s="9"/>
      <c r="D10" s="10"/>
      <c r="E10" s="4">
        <f>ROUND( DSUM(A2:E9,3,B2:B3), -3)</f>
        <v>9220000</v>
      </c>
      <c r="G10" s="3" t="s">
        <v>21</v>
      </c>
    </row>
    <row r="11" spans="1:8" x14ac:dyDescent="0.3">
      <c r="A11" s="8" t="s">
        <v>22</v>
      </c>
      <c r="B11" s="9"/>
      <c r="C11" s="9"/>
      <c r="D11" s="10"/>
      <c r="E11" s="2">
        <f>ROUNDUP( DAVERAGE(A2:E9, 4, G3:G4), 1)</f>
        <v>87.399999999999991</v>
      </c>
      <c r="G11" s="2" t="s">
        <v>2</v>
      </c>
    </row>
    <row r="12" spans="1:8" x14ac:dyDescent="0.3">
      <c r="A12" s="8" t="s">
        <v>23</v>
      </c>
      <c r="B12" s="9"/>
      <c r="C12" s="9"/>
      <c r="D12" s="10"/>
      <c r="E12" s="12">
        <f>DCOUNTA(A2:E9, 1, G7:H8)</f>
        <v>2</v>
      </c>
      <c r="G12" s="2" t="s">
        <v>14</v>
      </c>
    </row>
    <row r="13" spans="1:8" x14ac:dyDescent="0.3">
      <c r="A13" s="8" t="s">
        <v>24</v>
      </c>
      <c r="B13" s="9"/>
      <c r="C13" s="9"/>
      <c r="D13" s="10"/>
      <c r="E13" s="2">
        <f>DCOUNT(A2:E9, 3, A2:A3)</f>
        <v>2</v>
      </c>
    </row>
    <row r="14" spans="1:8" x14ac:dyDescent="0.3">
      <c r="A14" s="8" t="s">
        <v>25</v>
      </c>
      <c r="B14" s="9"/>
      <c r="C14" s="9"/>
      <c r="D14" s="10"/>
      <c r="E14" s="2">
        <f>DMAX(A2:E9,4,G11:G12) - DMIN(A2:E9,4,G11:G12)</f>
        <v>14</v>
      </c>
    </row>
    <row r="15" spans="1:8" x14ac:dyDescent="0.3">
      <c r="A15" s="8" t="s">
        <v>26</v>
      </c>
      <c r="B15" s="9"/>
      <c r="C15" s="9"/>
      <c r="D15" s="10"/>
      <c r="E15" s="2" t="str">
        <f>VLOOKUP( DMAX(A2:E9,4,B2:B3), D2:E9, 2, FALSE)</f>
        <v>김강인</v>
      </c>
    </row>
  </sheetData>
  <mergeCells count="7">
    <mergeCell ref="G6:H6"/>
    <mergeCell ref="A15:D15"/>
    <mergeCell ref="A14:D14"/>
    <mergeCell ref="A13:D13"/>
    <mergeCell ref="A12:D12"/>
    <mergeCell ref="A11:D11"/>
    <mergeCell ref="A10:D10"/>
  </mergeCells>
  <phoneticPr fontId="1" type="noConversion"/>
  <pageMargins left="0.7" right="0.7" top="0.75" bottom="0.75" header="0.3" footer="0.3"/>
  <pageSetup paperSize="9" orientation="portrait" horizontalDpi="300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0EB07A-F193-45AB-8C6E-71B4C6D59169}">
  <sheetPr>
    <tabColor theme="7" tint="0.59999389629810485"/>
  </sheetPr>
  <dimension ref="A1:J32"/>
  <sheetViews>
    <sheetView tabSelected="1" topLeftCell="A4" workbookViewId="0">
      <selection activeCell="C32" sqref="C32"/>
    </sheetView>
  </sheetViews>
  <sheetFormatPr defaultRowHeight="16.5" x14ac:dyDescent="0.3"/>
  <cols>
    <col min="3" max="3" width="10" bestFit="1" customWidth="1"/>
    <col min="9" max="9" width="9.75" bestFit="1" customWidth="1"/>
  </cols>
  <sheetData>
    <row r="1" spans="1:10" x14ac:dyDescent="0.3">
      <c r="A1" s="1" t="s">
        <v>0</v>
      </c>
      <c r="B1" s="6" t="s">
        <v>31</v>
      </c>
      <c r="F1" s="5" t="s">
        <v>32</v>
      </c>
      <c r="G1" s="6" t="s">
        <v>33</v>
      </c>
    </row>
    <row r="2" spans="1:10" x14ac:dyDescent="0.3">
      <c r="A2" s="2" t="s">
        <v>34</v>
      </c>
      <c r="B2" s="2" t="s">
        <v>35</v>
      </c>
      <c r="C2" s="2" t="s">
        <v>36</v>
      </c>
      <c r="D2" s="2" t="s">
        <v>37</v>
      </c>
      <c r="F2" s="2" t="s">
        <v>5</v>
      </c>
      <c r="G2" s="2" t="s">
        <v>2</v>
      </c>
      <c r="H2" s="2" t="s">
        <v>1</v>
      </c>
      <c r="I2" s="2" t="s">
        <v>37</v>
      </c>
    </row>
    <row r="3" spans="1:10" x14ac:dyDescent="0.3">
      <c r="A3" s="2" t="s">
        <v>38</v>
      </c>
      <c r="B3" s="2" t="s">
        <v>39</v>
      </c>
      <c r="C3" s="2">
        <v>650</v>
      </c>
      <c r="D3" s="2">
        <v>548</v>
      </c>
      <c r="F3" s="2" t="s">
        <v>40</v>
      </c>
      <c r="G3" s="2" t="s">
        <v>41</v>
      </c>
      <c r="H3" s="2" t="s">
        <v>10</v>
      </c>
      <c r="I3" s="4">
        <v>1202</v>
      </c>
    </row>
    <row r="4" spans="1:10" x14ac:dyDescent="0.3">
      <c r="A4" s="2" t="s">
        <v>42</v>
      </c>
      <c r="B4" s="2" t="s">
        <v>43</v>
      </c>
      <c r="C4" s="2">
        <v>500</v>
      </c>
      <c r="D4" s="2">
        <v>421</v>
      </c>
      <c r="F4" s="2" t="s">
        <v>44</v>
      </c>
      <c r="G4" s="2" t="s">
        <v>41</v>
      </c>
      <c r="H4" s="2" t="s">
        <v>12</v>
      </c>
      <c r="I4" s="4">
        <v>1653</v>
      </c>
    </row>
    <row r="5" spans="1:10" x14ac:dyDescent="0.3">
      <c r="A5" s="2" t="s">
        <v>45</v>
      </c>
      <c r="B5" s="2" t="s">
        <v>46</v>
      </c>
      <c r="C5" s="2">
        <v>450</v>
      </c>
      <c r="D5" s="2">
        <v>393</v>
      </c>
      <c r="F5" s="2" t="s">
        <v>47</v>
      </c>
      <c r="G5" s="2" t="s">
        <v>48</v>
      </c>
      <c r="H5" s="2" t="s">
        <v>7</v>
      </c>
      <c r="I5" s="4">
        <v>1147</v>
      </c>
    </row>
    <row r="6" spans="1:10" x14ac:dyDescent="0.3">
      <c r="A6" s="2" t="s">
        <v>49</v>
      </c>
      <c r="B6" s="2" t="s">
        <v>43</v>
      </c>
      <c r="C6" s="2">
        <v>600</v>
      </c>
      <c r="D6" s="2">
        <v>554</v>
      </c>
      <c r="F6" s="2" t="s">
        <v>50</v>
      </c>
      <c r="G6" s="2" t="s">
        <v>48</v>
      </c>
      <c r="H6" s="2" t="s">
        <v>10</v>
      </c>
      <c r="I6" s="4">
        <v>1652</v>
      </c>
    </row>
    <row r="7" spans="1:10" x14ac:dyDescent="0.3">
      <c r="A7" s="2" t="s">
        <v>51</v>
      </c>
      <c r="B7" s="2" t="s">
        <v>43</v>
      </c>
      <c r="C7" s="2">
        <v>550</v>
      </c>
      <c r="D7" s="2">
        <v>531</v>
      </c>
      <c r="F7" s="2" t="s">
        <v>52</v>
      </c>
      <c r="G7" s="2" t="s">
        <v>48</v>
      </c>
      <c r="H7" s="2" t="s">
        <v>12</v>
      </c>
      <c r="I7" s="4">
        <v>1384</v>
      </c>
    </row>
    <row r="8" spans="1:10" x14ac:dyDescent="0.3">
      <c r="A8" s="2" t="s">
        <v>53</v>
      </c>
      <c r="B8" s="2" t="s">
        <v>46</v>
      </c>
      <c r="C8" s="2">
        <v>500</v>
      </c>
      <c r="D8" s="2">
        <v>439</v>
      </c>
      <c r="F8" s="2" t="s">
        <v>54</v>
      </c>
      <c r="G8" s="2" t="s">
        <v>55</v>
      </c>
      <c r="H8" s="2" t="s">
        <v>10</v>
      </c>
      <c r="I8" s="4">
        <v>1694</v>
      </c>
      <c r="J8" s="3" t="s">
        <v>6</v>
      </c>
    </row>
    <row r="9" spans="1:10" x14ac:dyDescent="0.3">
      <c r="A9" s="2" t="s">
        <v>56</v>
      </c>
      <c r="B9" s="2" t="s">
        <v>39</v>
      </c>
      <c r="C9" s="2">
        <v>450</v>
      </c>
      <c r="D9" s="2">
        <v>417</v>
      </c>
      <c r="F9" s="2" t="s">
        <v>57</v>
      </c>
      <c r="G9" s="2" t="s">
        <v>55</v>
      </c>
      <c r="H9" s="2" t="s">
        <v>12</v>
      </c>
      <c r="I9" s="4">
        <v>1366</v>
      </c>
      <c r="J9" s="2" t="s">
        <v>2</v>
      </c>
    </row>
    <row r="10" spans="1:10" x14ac:dyDescent="0.3">
      <c r="A10" s="8" t="s">
        <v>58</v>
      </c>
      <c r="B10" s="9"/>
      <c r="C10" s="10"/>
      <c r="D10" s="2" t="str">
        <f>DSUM(A2:D9,4,B2:B3)&amp;"개"</f>
        <v>965개</v>
      </c>
      <c r="F10" s="8" t="s">
        <v>59</v>
      </c>
      <c r="G10" s="9"/>
      <c r="H10" s="10"/>
      <c r="I10" s="13">
        <f>ROUNDDOWN( DAVERAGE(F2:I9,4,J9:J10), -1)</f>
        <v>1390</v>
      </c>
      <c r="J10" s="2" t="s">
        <v>48</v>
      </c>
    </row>
    <row r="12" spans="1:10" x14ac:dyDescent="0.3">
      <c r="A12" s="5" t="s">
        <v>60</v>
      </c>
      <c r="B12" s="6" t="s">
        <v>61</v>
      </c>
      <c r="F12" s="5" t="s">
        <v>62</v>
      </c>
      <c r="G12" s="6" t="s">
        <v>63</v>
      </c>
    </row>
    <row r="13" spans="1:10" x14ac:dyDescent="0.3">
      <c r="A13" s="2" t="s">
        <v>64</v>
      </c>
      <c r="B13" s="2" t="s">
        <v>65</v>
      </c>
      <c r="C13" s="2" t="s">
        <v>66</v>
      </c>
      <c r="D13" s="2" t="s">
        <v>67</v>
      </c>
      <c r="F13" s="2" t="s">
        <v>68</v>
      </c>
      <c r="G13" s="2" t="s">
        <v>69</v>
      </c>
      <c r="H13" s="2" t="s">
        <v>70</v>
      </c>
    </row>
    <row r="14" spans="1:10" x14ac:dyDescent="0.3">
      <c r="A14" s="2" t="s">
        <v>71</v>
      </c>
      <c r="B14" s="2" t="s">
        <v>72</v>
      </c>
      <c r="C14" s="2">
        <v>100</v>
      </c>
      <c r="D14" s="4">
        <v>3652</v>
      </c>
      <c r="F14" s="2">
        <v>1</v>
      </c>
      <c r="G14" s="2" t="s">
        <v>73</v>
      </c>
      <c r="H14" s="2">
        <v>57</v>
      </c>
    </row>
    <row r="15" spans="1:10" x14ac:dyDescent="0.3">
      <c r="A15" s="2" t="s">
        <v>74</v>
      </c>
      <c r="B15" s="2" t="s">
        <v>75</v>
      </c>
      <c r="C15" s="2">
        <v>150</v>
      </c>
      <c r="D15" s="4">
        <v>5724</v>
      </c>
      <c r="F15" s="2">
        <v>2</v>
      </c>
      <c r="G15" s="2" t="s">
        <v>76</v>
      </c>
      <c r="H15" s="2">
        <v>45</v>
      </c>
    </row>
    <row r="16" spans="1:10" x14ac:dyDescent="0.3">
      <c r="A16" s="2" t="s">
        <v>77</v>
      </c>
      <c r="B16" s="2" t="s">
        <v>72</v>
      </c>
      <c r="C16" s="2">
        <v>120</v>
      </c>
      <c r="D16" s="4">
        <v>4253</v>
      </c>
      <c r="F16" s="2">
        <v>3</v>
      </c>
      <c r="G16" s="2" t="s">
        <v>78</v>
      </c>
      <c r="H16" s="2">
        <v>122</v>
      </c>
    </row>
    <row r="17" spans="1:10" x14ac:dyDescent="0.3">
      <c r="A17" s="2" t="s">
        <v>79</v>
      </c>
      <c r="B17" s="2" t="s">
        <v>72</v>
      </c>
      <c r="C17" s="2">
        <v>90</v>
      </c>
      <c r="D17" s="4">
        <v>3143</v>
      </c>
      <c r="F17" s="2">
        <v>4</v>
      </c>
      <c r="G17" s="2" t="s">
        <v>80</v>
      </c>
      <c r="H17" s="2">
        <v>32</v>
      </c>
    </row>
    <row r="18" spans="1:10" x14ac:dyDescent="0.3">
      <c r="A18" s="2" t="s">
        <v>81</v>
      </c>
      <c r="B18" s="2" t="s">
        <v>82</v>
      </c>
      <c r="C18" s="2">
        <v>130</v>
      </c>
      <c r="D18" s="4">
        <v>4192</v>
      </c>
      <c r="F18" s="2">
        <v>5</v>
      </c>
      <c r="G18" s="2" t="s">
        <v>83</v>
      </c>
      <c r="H18" s="2">
        <v>105</v>
      </c>
    </row>
    <row r="19" spans="1:10" x14ac:dyDescent="0.3">
      <c r="A19" s="2" t="s">
        <v>84</v>
      </c>
      <c r="B19" s="2" t="s">
        <v>75</v>
      </c>
      <c r="C19" s="2">
        <v>100</v>
      </c>
      <c r="D19" s="4">
        <v>3048</v>
      </c>
      <c r="F19" s="2">
        <v>6</v>
      </c>
      <c r="G19" s="2" t="s">
        <v>85</v>
      </c>
      <c r="H19" s="2">
        <v>30</v>
      </c>
      <c r="I19" s="3" t="s">
        <v>6</v>
      </c>
    </row>
    <row r="20" spans="1:10" x14ac:dyDescent="0.3">
      <c r="A20" s="2" t="s">
        <v>86</v>
      </c>
      <c r="B20" s="2" t="s">
        <v>82</v>
      </c>
      <c r="C20" s="2">
        <v>150</v>
      </c>
      <c r="D20" s="4">
        <v>3879</v>
      </c>
      <c r="F20" s="2">
        <v>7</v>
      </c>
      <c r="G20" s="2" t="s">
        <v>87</v>
      </c>
      <c r="H20" s="2">
        <v>242</v>
      </c>
      <c r="I20" s="2" t="s">
        <v>70</v>
      </c>
    </row>
    <row r="21" spans="1:10" x14ac:dyDescent="0.3">
      <c r="A21" s="8" t="s">
        <v>88</v>
      </c>
      <c r="B21" s="9"/>
      <c r="C21" s="10"/>
      <c r="D21" s="15">
        <f>DSUM(A13:D20,4,B13:B14)/DCOUNTA(A13:D20,1,B13:B14)</f>
        <v>3682.6666666666665</v>
      </c>
      <c r="F21" s="8" t="s">
        <v>89</v>
      </c>
      <c r="G21" s="10"/>
      <c r="H21" s="2" t="str">
        <f>DCOUNT(F13:H20, 3, I20:I21) &amp; "개"</f>
        <v>3개</v>
      </c>
      <c r="I21" s="2" t="s">
        <v>108</v>
      </c>
    </row>
    <row r="23" spans="1:10" x14ac:dyDescent="0.3">
      <c r="A23" s="5" t="s">
        <v>90</v>
      </c>
      <c r="B23" s="6" t="s">
        <v>91</v>
      </c>
      <c r="F23" s="5" t="s">
        <v>92</v>
      </c>
      <c r="G23" s="6" t="s">
        <v>93</v>
      </c>
    </row>
    <row r="24" spans="1:10" x14ac:dyDescent="0.3">
      <c r="A24" s="2" t="s">
        <v>94</v>
      </c>
      <c r="B24" s="2" t="s">
        <v>95</v>
      </c>
      <c r="C24" s="2" t="s">
        <v>27</v>
      </c>
      <c r="F24" s="2" t="s">
        <v>5</v>
      </c>
      <c r="G24" s="2" t="s">
        <v>28</v>
      </c>
      <c r="H24" s="2" t="s">
        <v>27</v>
      </c>
    </row>
    <row r="25" spans="1:10" x14ac:dyDescent="0.3">
      <c r="A25" s="2">
        <v>12301</v>
      </c>
      <c r="B25" s="2" t="s">
        <v>96</v>
      </c>
      <c r="C25" s="2">
        <v>93</v>
      </c>
      <c r="F25" s="2" t="s">
        <v>97</v>
      </c>
      <c r="G25" s="2" t="s">
        <v>29</v>
      </c>
      <c r="H25" s="2">
        <v>86</v>
      </c>
    </row>
    <row r="26" spans="1:10" x14ac:dyDescent="0.3">
      <c r="A26" s="2">
        <v>12302</v>
      </c>
      <c r="B26" s="2" t="s">
        <v>98</v>
      </c>
      <c r="C26" s="2">
        <v>89</v>
      </c>
      <c r="F26" s="2" t="s">
        <v>99</v>
      </c>
      <c r="G26" s="2" t="s">
        <v>30</v>
      </c>
      <c r="H26" s="2">
        <v>75</v>
      </c>
    </row>
    <row r="27" spans="1:10" x14ac:dyDescent="0.3">
      <c r="A27" s="2">
        <v>12303</v>
      </c>
      <c r="B27" s="2" t="s">
        <v>96</v>
      </c>
      <c r="C27" s="2">
        <v>94</v>
      </c>
      <c r="F27" s="2" t="s">
        <v>100</v>
      </c>
      <c r="G27" s="2" t="s">
        <v>29</v>
      </c>
      <c r="H27" s="2">
        <v>91</v>
      </c>
    </row>
    <row r="28" spans="1:10" x14ac:dyDescent="0.3">
      <c r="A28" s="2">
        <v>12304</v>
      </c>
      <c r="B28" s="2" t="s">
        <v>96</v>
      </c>
      <c r="C28" s="2">
        <v>87</v>
      </c>
      <c r="F28" s="2" t="s">
        <v>101</v>
      </c>
      <c r="G28" s="2" t="s">
        <v>30</v>
      </c>
      <c r="H28" s="2">
        <v>96</v>
      </c>
    </row>
    <row r="29" spans="1:10" x14ac:dyDescent="0.3">
      <c r="A29" s="2">
        <v>12305</v>
      </c>
      <c r="B29" s="2" t="s">
        <v>98</v>
      </c>
      <c r="C29" s="2">
        <v>95</v>
      </c>
      <c r="F29" s="2" t="s">
        <v>102</v>
      </c>
      <c r="G29" s="2" t="s">
        <v>29</v>
      </c>
      <c r="H29" s="2">
        <v>67</v>
      </c>
    </row>
    <row r="30" spans="1:10" x14ac:dyDescent="0.3">
      <c r="A30" s="2">
        <v>12306</v>
      </c>
      <c r="B30" s="2" t="s">
        <v>98</v>
      </c>
      <c r="C30" s="2">
        <v>91</v>
      </c>
      <c r="D30" s="3" t="s">
        <v>6</v>
      </c>
      <c r="F30" s="2" t="s">
        <v>103</v>
      </c>
      <c r="G30" s="2" t="s">
        <v>29</v>
      </c>
      <c r="H30" s="2">
        <v>95</v>
      </c>
      <c r="I30" s="11" t="s">
        <v>6</v>
      </c>
      <c r="J30" s="7"/>
    </row>
    <row r="31" spans="1:10" x14ac:dyDescent="0.3">
      <c r="A31" s="2">
        <v>12307</v>
      </c>
      <c r="B31" s="2" t="s">
        <v>96</v>
      </c>
      <c r="C31" s="2">
        <v>88</v>
      </c>
      <c r="D31" s="2" t="s">
        <v>95</v>
      </c>
      <c r="F31" s="2" t="s">
        <v>104</v>
      </c>
      <c r="G31" s="2" t="s">
        <v>30</v>
      </c>
      <c r="H31" s="2">
        <v>81</v>
      </c>
      <c r="I31" s="2" t="s">
        <v>28</v>
      </c>
      <c r="J31" s="2" t="s">
        <v>28</v>
      </c>
    </row>
    <row r="32" spans="1:10" x14ac:dyDescent="0.3">
      <c r="A32" s="8" t="s">
        <v>105</v>
      </c>
      <c r="B32" s="10"/>
      <c r="C32" s="2" t="str">
        <f>DMAX(A24:C31,3,D31:D32)&amp;"(최소"&amp;DMIN(A24:C31,3,D31:D32)&amp;")"</f>
        <v>95(최소89)</v>
      </c>
      <c r="D32" s="2" t="s">
        <v>98</v>
      </c>
      <c r="F32" s="8" t="s">
        <v>106</v>
      </c>
      <c r="G32" s="10"/>
      <c r="H32" s="14">
        <f xml:space="preserve"> ROUND(AVERAGE(DMAX(F24:H31, 3, I31:I32), DMAX(F24:H31, 3, J31:J32) ), 1)</f>
        <v>95.5</v>
      </c>
      <c r="I32" s="2" t="s">
        <v>29</v>
      </c>
      <c r="J32" s="2" t="s">
        <v>30</v>
      </c>
    </row>
  </sheetData>
  <mergeCells count="7">
    <mergeCell ref="I30:J30"/>
    <mergeCell ref="F32:G32"/>
    <mergeCell ref="A32:B32"/>
    <mergeCell ref="F10:H10"/>
    <mergeCell ref="A10:C10"/>
    <mergeCell ref="F21:G21"/>
    <mergeCell ref="A21:C21"/>
  </mergeCells>
  <phoneticPr fontId="1" type="noConversion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출제유형_01_유형1~05_유형2</vt:lpstr>
      <vt:lpstr>대표기출문제_기출1~6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시나공</dc:creator>
  <cp:lastModifiedBy>user</cp:lastModifiedBy>
  <dcterms:created xsi:type="dcterms:W3CDTF">2023-04-27T08:01:32Z</dcterms:created>
  <dcterms:modified xsi:type="dcterms:W3CDTF">2025-12-04T18:46:59Z</dcterms:modified>
</cp:coreProperties>
</file>