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E:\1_작업중\컴활2급_251130\기능\"/>
    </mc:Choice>
  </mc:AlternateContent>
  <xr:revisionPtr revIDLastSave="0" documentId="13_ncr:1_{1B07F57F-A0D2-4937-ADD4-83784F70937D}" xr6:coauthVersionLast="47" xr6:coauthVersionMax="47" xr10:uidLastSave="{00000000-0000-0000-0000-000000000000}"/>
  <bookViews>
    <workbookView xWindow="-330" yWindow="285" windowWidth="14460" windowHeight="11325" tabRatio="926" firstSheet="1" activeTab="6" xr2:uid="{1EA7D4BC-0E71-467A-81F4-8371BAA0CFDB}"/>
  </bookViews>
  <sheets>
    <sheet name="출제유형_01_유형1~6" sheetId="6" r:id="rId1"/>
    <sheet name="02_유형1~3" sheetId="8" r:id="rId2"/>
    <sheet name="03_유형1" sheetId="12" r:id="rId3"/>
    <sheet name="04_유형1" sheetId="9" r:id="rId4"/>
    <sheet name="05_유형1" sheetId="10" r:id="rId5"/>
    <sheet name="06_유형1" sheetId="11" r:id="rId6"/>
    <sheet name="대표기출문제_기출1~6" sheetId="1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10" i="1" l="1"/>
  <c r="D10" i="1"/>
  <c r="I21" i="1"/>
  <c r="I35" i="1"/>
  <c r="H35" i="1"/>
  <c r="C26" i="1"/>
  <c r="C27" i="1"/>
  <c r="C28" i="1"/>
  <c r="C29" i="1"/>
  <c r="C30" i="1"/>
  <c r="C31" i="1"/>
  <c r="C32" i="1"/>
  <c r="C33" i="1"/>
  <c r="C34" i="1"/>
  <c r="C35" i="1"/>
  <c r="C25" i="1"/>
  <c r="D21" i="1"/>
  <c r="D4" i="11"/>
  <c r="D5" i="11"/>
  <c r="D6" i="11"/>
  <c r="D7" i="11"/>
  <c r="D3" i="11"/>
  <c r="D7" i="10"/>
  <c r="D9" i="9"/>
  <c r="D7" i="12"/>
  <c r="F4" i="8"/>
  <c r="F5" i="8"/>
  <c r="F6" i="8"/>
  <c r="F7" i="8"/>
  <c r="F3" i="8"/>
  <c r="E4" i="8"/>
  <c r="E5" i="8"/>
  <c r="E6" i="8"/>
  <c r="E7" i="8"/>
  <c r="E3" i="8"/>
  <c r="D6" i="8"/>
  <c r="D7" i="8"/>
  <c r="D4" i="8"/>
  <c r="D5" i="8"/>
  <c r="D3" i="8"/>
  <c r="J11" i="6"/>
  <c r="J10" i="6"/>
  <c r="J4" i="6"/>
  <c r="J5" i="6"/>
  <c r="J6" i="6"/>
  <c r="J7" i="6"/>
  <c r="J8" i="6"/>
  <c r="J9" i="6"/>
  <c r="J3" i="6"/>
  <c r="E11" i="6"/>
  <c r="E10" i="6"/>
  <c r="E9" i="6"/>
</calcChain>
</file>

<file path=xl/sharedStrings.xml><?xml version="1.0" encoding="utf-8"?>
<sst xmlns="http://schemas.openxmlformats.org/spreadsheetml/2006/main" count="262" uniqueCount="187">
  <si>
    <t>[표1]</t>
  </si>
  <si>
    <t>[표2]</t>
  </si>
  <si>
    <t>이름</t>
  </si>
  <si>
    <t>성별</t>
  </si>
  <si>
    <t>시험</t>
  </si>
  <si>
    <t>과제</t>
  </si>
  <si>
    <t>총점</t>
  </si>
  <si>
    <t>지역</t>
  </si>
  <si>
    <t>출고량</t>
  </si>
  <si>
    <t>출고총액</t>
  </si>
  <si>
    <t>할인액</t>
  </si>
  <si>
    <t>이재한</t>
  </si>
  <si>
    <t>남</t>
  </si>
  <si>
    <t>수원</t>
  </si>
  <si>
    <t>한경애</t>
  </si>
  <si>
    <t>여</t>
  </si>
  <si>
    <t>안산</t>
  </si>
  <si>
    <t>노지훈</t>
  </si>
  <si>
    <t>김현서</t>
  </si>
  <si>
    <t>신고은</t>
  </si>
  <si>
    <t>박유진</t>
  </si>
  <si>
    <t>남학생 총점 평균</t>
  </si>
  <si>
    <t>여학생 총점 평균</t>
  </si>
  <si>
    <t>수원 출고총액 합계</t>
  </si>
  <si>
    <t>총점 표준편차</t>
  </si>
  <si>
    <t>안산 출고총액 합계</t>
  </si>
  <si>
    <t>&lt;조건&gt;</t>
    <phoneticPr fontId="1" type="noConversion"/>
  </si>
  <si>
    <t>사원명</t>
  </si>
  <si>
    <t>부서명</t>
  </si>
  <si>
    <t>직위</t>
  </si>
  <si>
    <t>판매량</t>
  </si>
  <si>
    <t>과장</t>
  </si>
  <si>
    <t>대리</t>
  </si>
  <si>
    <t>주민등록번호</t>
  </si>
  <si>
    <t>입고량</t>
  </si>
  <si>
    <t>일판매량</t>
  </si>
  <si>
    <t>일수(나머지)</t>
  </si>
  <si>
    <t>판매</t>
  </si>
  <si>
    <t>961024-1******</t>
  </si>
  <si>
    <t>▲▲</t>
  </si>
  <si>
    <t>001009-4******</t>
  </si>
  <si>
    <t>▲</t>
  </si>
  <si>
    <t>921201-1******</t>
  </si>
  <si>
    <t>▲▲▲</t>
  </si>
  <si>
    <t>890621-2******</t>
  </si>
  <si>
    <t>010409-3******</t>
  </si>
  <si>
    <t>&lt;판매구분표&gt;</t>
  </si>
  <si>
    <t>이상</t>
  </si>
  <si>
    <t>미만</t>
  </si>
  <si>
    <t>제품코드</t>
  </si>
  <si>
    <t>작업일자</t>
  </si>
  <si>
    <t>제품명</t>
  </si>
  <si>
    <t>생산량</t>
  </si>
  <si>
    <t>3월16일</t>
  </si>
  <si>
    <t>생산1부</t>
  </si>
  <si>
    <t>생산2부</t>
  </si>
  <si>
    <t>3월17일</t>
  </si>
  <si>
    <t>3월18일</t>
  </si>
  <si>
    <t>생산1부 생산량 합계</t>
  </si>
  <si>
    <t>지점</t>
  </si>
  <si>
    <t>목표량</t>
  </si>
  <si>
    <t>안산점</t>
  </si>
  <si>
    <t>신라면</t>
  </si>
  <si>
    <t>진짬뽕</t>
  </si>
  <si>
    <t>시흥점</t>
  </si>
  <si>
    <t>신라면-진짬뽕 판매량 차이</t>
  </si>
  <si>
    <t>성명</t>
  </si>
  <si>
    <t>체중(kg)</t>
  </si>
  <si>
    <t>신장(m)</t>
  </si>
  <si>
    <t>체질량지수</t>
  </si>
  <si>
    <t>김예소</t>
  </si>
  <si>
    <t>강민성</t>
  </si>
  <si>
    <t>이다해</t>
  </si>
  <si>
    <t>고회식</t>
  </si>
  <si>
    <t>황유진</t>
  </si>
  <si>
    <t>조경원</t>
  </si>
  <si>
    <t>차량판매현황</t>
  </si>
  <si>
    <t>화물운송비용</t>
  </si>
  <si>
    <t>판매대수</t>
  </si>
  <si>
    <t>거래처</t>
  </si>
  <si>
    <t>무게(t)</t>
  </si>
  <si>
    <t>운송비용</t>
  </si>
  <si>
    <t>동부</t>
  </si>
  <si>
    <t>하지원</t>
  </si>
  <si>
    <t>금성산업</t>
  </si>
  <si>
    <t>수도권</t>
  </si>
  <si>
    <t>서부</t>
  </si>
  <si>
    <t>김진희</t>
  </si>
  <si>
    <t>군자산업</t>
  </si>
  <si>
    <t>지방</t>
  </si>
  <si>
    <t>유현진</t>
  </si>
  <si>
    <t>목성산업</t>
  </si>
  <si>
    <t>김영조</t>
  </si>
  <si>
    <t>부영산업</t>
  </si>
  <si>
    <t>전대권</t>
  </si>
  <si>
    <t>국민산업</t>
  </si>
  <si>
    <t>홍승아</t>
  </si>
  <si>
    <t>자주산업</t>
  </si>
  <si>
    <t>대청산업</t>
  </si>
  <si>
    <t>동부지점 대리 판매대수 평균</t>
  </si>
  <si>
    <t>수도권 운송비용 합계</t>
  </si>
  <si>
    <t>[표3]</t>
  </si>
  <si>
    <t>1학기성적표</t>
  </si>
  <si>
    <t>[표4]</t>
  </si>
  <si>
    <t>의류판매현황</t>
  </si>
  <si>
    <t>학번</t>
  </si>
  <si>
    <t>학생명</t>
  </si>
  <si>
    <t>학과</t>
  </si>
  <si>
    <t>학점</t>
  </si>
  <si>
    <t>구분</t>
  </si>
  <si>
    <t>신대인</t>
  </si>
  <si>
    <t>화학</t>
  </si>
  <si>
    <t>티셔츠</t>
  </si>
  <si>
    <t>한성우</t>
  </si>
  <si>
    <t>물리</t>
  </si>
  <si>
    <t>바지</t>
  </si>
  <si>
    <t>양정숙</t>
  </si>
  <si>
    <t>영문</t>
  </si>
  <si>
    <t>박솔비</t>
  </si>
  <si>
    <t>오상진</t>
  </si>
  <si>
    <t>서수한</t>
  </si>
  <si>
    <t>문성수</t>
  </si>
  <si>
    <t>화학과 학점 평균</t>
  </si>
  <si>
    <t>[표5]</t>
  </si>
  <si>
    <t>[표6]</t>
  </si>
  <si>
    <t>의류수출현황</t>
  </si>
  <si>
    <t>(단위 : 만원)</t>
  </si>
  <si>
    <t>수출국</t>
  </si>
  <si>
    <t>수출량</t>
  </si>
  <si>
    <t>총액</t>
  </si>
  <si>
    <t>SK-4G</t>
  </si>
  <si>
    <t>여성</t>
  </si>
  <si>
    <t>베트남</t>
  </si>
  <si>
    <t>RE-8P</t>
  </si>
  <si>
    <t>중국</t>
  </si>
  <si>
    <t>CS-6D</t>
  </si>
  <si>
    <t>남성</t>
  </si>
  <si>
    <t>AS-1K</t>
  </si>
  <si>
    <t>MB-4T</t>
  </si>
  <si>
    <t>필리핀</t>
  </si>
  <si>
    <t>NV-5Y</t>
  </si>
  <si>
    <t>OS-9R</t>
  </si>
  <si>
    <t>KW-3D</t>
  </si>
  <si>
    <t>수출량합계</t>
  </si>
  <si>
    <t>총액합계</t>
  </si>
  <si>
    <t>지역</t>
    <phoneticPr fontId="1" type="noConversion"/>
  </si>
  <si>
    <t>안산</t>
    <phoneticPr fontId="1" type="noConversion"/>
  </si>
  <si>
    <t>날짜</t>
    <phoneticPr fontId="1" type="noConversion"/>
  </si>
  <si>
    <t>강사명</t>
    <phoneticPr fontId="1" type="noConversion"/>
  </si>
  <si>
    <t>김은소</t>
    <phoneticPr fontId="1" type="noConversion"/>
  </si>
  <si>
    <t>이서하</t>
    <phoneticPr fontId="1" type="noConversion"/>
  </si>
  <si>
    <t>한준서</t>
    <phoneticPr fontId="1" type="noConversion"/>
  </si>
  <si>
    <t>강하늘</t>
    <phoneticPr fontId="1" type="noConversion"/>
  </si>
  <si>
    <t>박진만</t>
    <phoneticPr fontId="1" type="noConversion"/>
  </si>
  <si>
    <t>황진주</t>
    <phoneticPr fontId="1" type="noConversion"/>
  </si>
  <si>
    <t>이상희</t>
    <phoneticPr fontId="1" type="noConversion"/>
  </si>
  <si>
    <t>김치국</t>
    <phoneticPr fontId="1" type="noConversion"/>
  </si>
  <si>
    <t>조현우</t>
    <phoneticPr fontId="1" type="noConversion"/>
  </si>
  <si>
    <t>임영우</t>
    <phoneticPr fontId="1" type="noConversion"/>
  </si>
  <si>
    <t>최시연</t>
    <phoneticPr fontId="1" type="noConversion"/>
  </si>
  <si>
    <t>구분</t>
    <phoneticPr fontId="1" type="noConversion"/>
  </si>
  <si>
    <t>7월 일정표</t>
    <phoneticPr fontId="1" type="noConversion"/>
  </si>
  <si>
    <t>생산1부</t>
    <phoneticPr fontId="1" type="noConversion"/>
  </si>
  <si>
    <t>냉장고</t>
    <phoneticPr fontId="1" type="noConversion"/>
  </si>
  <si>
    <t>세탁기</t>
    <phoneticPr fontId="1" type="noConversion"/>
  </si>
  <si>
    <t>제품명</t>
    <phoneticPr fontId="1" type="noConversion"/>
  </si>
  <si>
    <t>판매량</t>
    <phoneticPr fontId="1" type="noConversion"/>
  </si>
  <si>
    <t>판매총액</t>
    <phoneticPr fontId="1" type="noConversion"/>
  </si>
  <si>
    <t>썬크림</t>
    <phoneticPr fontId="1" type="noConversion"/>
  </si>
  <si>
    <t>뷰티</t>
    <phoneticPr fontId="1" type="noConversion"/>
  </si>
  <si>
    <t>삼겹살</t>
    <phoneticPr fontId="1" type="noConversion"/>
  </si>
  <si>
    <t>식품</t>
    <phoneticPr fontId="1" type="noConversion"/>
  </si>
  <si>
    <t>선풍기</t>
    <phoneticPr fontId="1" type="noConversion"/>
  </si>
  <si>
    <t>가전</t>
    <phoneticPr fontId="1" type="noConversion"/>
  </si>
  <si>
    <t>라면</t>
    <phoneticPr fontId="1" type="noConversion"/>
  </si>
  <si>
    <t>식품 판매총액 비율</t>
    <phoneticPr fontId="1" type="noConversion"/>
  </si>
  <si>
    <t>의류코드</t>
    <phoneticPr fontId="1" type="noConversion"/>
  </si>
  <si>
    <t>1월</t>
    <phoneticPr fontId="1" type="noConversion"/>
  </si>
  <si>
    <t>2월</t>
    <phoneticPr fontId="1" type="noConversion"/>
  </si>
  <si>
    <t>gt-6847</t>
    <phoneticPr fontId="1" type="noConversion"/>
  </si>
  <si>
    <t>bj-2559</t>
    <phoneticPr fontId="1" type="noConversion"/>
  </si>
  <si>
    <t>bj-8106</t>
    <phoneticPr fontId="1" type="noConversion"/>
  </si>
  <si>
    <t>gt-1223</t>
    <phoneticPr fontId="1" type="noConversion"/>
  </si>
  <si>
    <t>gt-5699</t>
    <phoneticPr fontId="1" type="noConversion"/>
  </si>
  <si>
    <t>bj-7051</t>
    <phoneticPr fontId="1" type="noConversion"/>
  </si>
  <si>
    <t>bj-6382</t>
    <phoneticPr fontId="1" type="noConversion"/>
  </si>
  <si>
    <t>1월, 2월 바지 평균 판매량 차이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</si>
</sst>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5" fillId="0" borderId="0" xfId="0" applyFont="1">
      <alignment vertical="center"/>
    </xf>
    <xf numFmtId="14" fontId="0" fillId="0" borderId="1" xfId="0" applyNumberForma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41" fontId="0" fillId="0" borderId="1" xfId="1" applyNumberFormat="1" applyFont="1" applyBorder="1" applyAlignment="1">
      <alignment horizontal="center" vertical="center"/>
    </xf>
    <xf numFmtId="41" fontId="0" fillId="3" borderId="1" xfId="1" applyFont="1" applyFill="1" applyBorder="1" applyAlignment="1">
      <alignment horizontal="center" vertical="center"/>
    </xf>
    <xf numFmtId="41" fontId="0" fillId="0" borderId="1" xfId="0" applyNumberFormat="1" applyBorder="1" applyAlignment="1">
      <alignment horizontal="center" vertical="center"/>
    </xf>
    <xf numFmtId="0" fontId="0" fillId="3" borderId="1" xfId="1" applyNumberFormat="1" applyFont="1" applyFill="1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sheetPr>
    <tabColor rgb="FFFFFF00"/>
  </sheetPr>
  <dimension ref="A1:J14"/>
  <sheetViews>
    <sheetView workbookViewId="0">
      <selection activeCell="J11" sqref="J11"/>
    </sheetView>
  </sheetViews>
  <sheetFormatPr defaultRowHeight="16.5" x14ac:dyDescent="0.3"/>
  <cols>
    <col min="1" max="1" width="7.625" customWidth="1"/>
    <col min="2" max="6" width="6.625" customWidth="1"/>
    <col min="7" max="8" width="8.125" customWidth="1"/>
    <col min="9" max="10" width="9.375" bestFit="1" customWidth="1"/>
  </cols>
  <sheetData>
    <row r="1" spans="1:10" x14ac:dyDescent="0.3">
      <c r="A1" s="1" t="s">
        <v>0</v>
      </c>
      <c r="G1" s="2" t="s">
        <v>1</v>
      </c>
    </row>
    <row r="2" spans="1:10" x14ac:dyDescent="0.3">
      <c r="A2" s="3" t="s">
        <v>2</v>
      </c>
      <c r="B2" s="3" t="s">
        <v>3</v>
      </c>
      <c r="C2" s="3" t="s">
        <v>4</v>
      </c>
      <c r="D2" s="3" t="s">
        <v>5</v>
      </c>
      <c r="E2" s="3" t="s">
        <v>6</v>
      </c>
      <c r="G2" s="3" t="s">
        <v>7</v>
      </c>
      <c r="H2" s="3" t="s">
        <v>8</v>
      </c>
      <c r="I2" s="3" t="s">
        <v>9</v>
      </c>
      <c r="J2" s="4" t="s">
        <v>10</v>
      </c>
    </row>
    <row r="3" spans="1:10" x14ac:dyDescent="0.3">
      <c r="A3" s="3" t="s">
        <v>11</v>
      </c>
      <c r="B3" s="3" t="s">
        <v>12</v>
      </c>
      <c r="C3" s="3">
        <v>59</v>
      </c>
      <c r="D3" s="3">
        <v>24</v>
      </c>
      <c r="E3" s="3">
        <v>83</v>
      </c>
      <c r="G3" s="3" t="s">
        <v>13</v>
      </c>
      <c r="H3" s="3">
        <v>25</v>
      </c>
      <c r="I3" s="5">
        <v>288250</v>
      </c>
      <c r="J3" s="15">
        <f xml:space="preserve"> ROUNDDOWN( I3 * IF(H3&gt;=30, 0.1, IF(H3&gt;=20, 0.07, 0.03) ), -1 )</f>
        <v>20170</v>
      </c>
    </row>
    <row r="4" spans="1:10" x14ac:dyDescent="0.3">
      <c r="A4" s="3" t="s">
        <v>14</v>
      </c>
      <c r="B4" s="3" t="s">
        <v>15</v>
      </c>
      <c r="C4" s="3">
        <v>64</v>
      </c>
      <c r="D4" s="3">
        <v>28</v>
      </c>
      <c r="E4" s="3">
        <v>92</v>
      </c>
      <c r="G4" s="3" t="s">
        <v>16</v>
      </c>
      <c r="H4" s="3">
        <v>20</v>
      </c>
      <c r="I4" s="5">
        <v>230600</v>
      </c>
      <c r="J4" s="15">
        <f t="shared" ref="J4:J9" si="0" xml:space="preserve"> ROUNDDOWN( I4 * IF(H4&gt;=30, 0.1, IF(H4&gt;=20, 0.07, 0.03) ), -1 )</f>
        <v>16140</v>
      </c>
    </row>
    <row r="5" spans="1:10" x14ac:dyDescent="0.3">
      <c r="A5" s="3" t="s">
        <v>17</v>
      </c>
      <c r="B5" s="3" t="s">
        <v>12</v>
      </c>
      <c r="C5" s="3">
        <v>68</v>
      </c>
      <c r="D5" s="3">
        <v>26</v>
      </c>
      <c r="E5" s="3">
        <v>94</v>
      </c>
      <c r="G5" s="3" t="s">
        <v>13</v>
      </c>
      <c r="H5" s="3">
        <v>15</v>
      </c>
      <c r="I5" s="5">
        <v>172950</v>
      </c>
      <c r="J5" s="15">
        <f t="shared" si="0"/>
        <v>5180</v>
      </c>
    </row>
    <row r="6" spans="1:10" x14ac:dyDescent="0.3">
      <c r="A6" s="3" t="s">
        <v>18</v>
      </c>
      <c r="B6" s="3" t="s">
        <v>12</v>
      </c>
      <c r="C6" s="3">
        <v>61</v>
      </c>
      <c r="D6" s="3">
        <v>25</v>
      </c>
      <c r="E6" s="3">
        <v>86</v>
      </c>
      <c r="G6" s="3" t="s">
        <v>16</v>
      </c>
      <c r="H6" s="3">
        <v>20</v>
      </c>
      <c r="I6" s="5">
        <v>230600</v>
      </c>
      <c r="J6" s="15">
        <f t="shared" si="0"/>
        <v>16140</v>
      </c>
    </row>
    <row r="7" spans="1:10" x14ac:dyDescent="0.3">
      <c r="A7" s="3" t="s">
        <v>19</v>
      </c>
      <c r="B7" s="3" t="s">
        <v>15</v>
      </c>
      <c r="C7" s="3">
        <v>55</v>
      </c>
      <c r="D7" s="3">
        <v>27</v>
      </c>
      <c r="E7" s="3">
        <v>82</v>
      </c>
      <c r="G7" s="3" t="s">
        <v>16</v>
      </c>
      <c r="H7" s="3">
        <v>30</v>
      </c>
      <c r="I7" s="5">
        <v>345900</v>
      </c>
      <c r="J7" s="15">
        <f t="shared" si="0"/>
        <v>34590</v>
      </c>
    </row>
    <row r="8" spans="1:10" x14ac:dyDescent="0.3">
      <c r="A8" s="3" t="s">
        <v>20</v>
      </c>
      <c r="B8" s="3" t="s">
        <v>15</v>
      </c>
      <c r="C8" s="3">
        <v>69</v>
      </c>
      <c r="D8" s="3">
        <v>29</v>
      </c>
      <c r="E8" s="3">
        <v>98</v>
      </c>
      <c r="G8" s="3" t="s">
        <v>13</v>
      </c>
      <c r="H8" s="3">
        <v>35</v>
      </c>
      <c r="I8" s="5">
        <v>403550</v>
      </c>
      <c r="J8" s="15">
        <f t="shared" si="0"/>
        <v>40350</v>
      </c>
    </row>
    <row r="9" spans="1:10" x14ac:dyDescent="0.3">
      <c r="A9" s="9" t="s">
        <v>21</v>
      </c>
      <c r="B9" s="10"/>
      <c r="C9" s="10"/>
      <c r="D9" s="11"/>
      <c r="E9" s="14">
        <f>ROUND( DAVERAGE(A2:E8, 5, B2:B3), 1)</f>
        <v>87.7</v>
      </c>
      <c r="G9" s="3" t="s">
        <v>16</v>
      </c>
      <c r="H9" s="3">
        <v>15</v>
      </c>
      <c r="I9" s="5">
        <v>172950</v>
      </c>
      <c r="J9" s="15">
        <f t="shared" si="0"/>
        <v>5180</v>
      </c>
    </row>
    <row r="10" spans="1:10" x14ac:dyDescent="0.3">
      <c r="A10" s="9" t="s">
        <v>22</v>
      </c>
      <c r="B10" s="10"/>
      <c r="C10" s="10"/>
      <c r="D10" s="11"/>
      <c r="E10" s="14">
        <f>ROUNDDOWN( AVERAGEIF(B3:B8, "여", E3:E8), 0 )</f>
        <v>90</v>
      </c>
      <c r="G10" s="9" t="s">
        <v>23</v>
      </c>
      <c r="H10" s="10"/>
      <c r="I10" s="11"/>
      <c r="J10" s="16">
        <f>ROUND( SUMIF(G3:G9, "수원", I3:I9), -2)</f>
        <v>864800</v>
      </c>
    </row>
    <row r="11" spans="1:10" x14ac:dyDescent="0.3">
      <c r="A11" s="9" t="s">
        <v>24</v>
      </c>
      <c r="B11" s="10"/>
      <c r="C11" s="10"/>
      <c r="D11" s="11"/>
      <c r="E11" s="3">
        <f>ROUNDUP( _xlfn.STDEV.S(E3:E8), 2 )</f>
        <v>6.47</v>
      </c>
      <c r="G11" s="9" t="s">
        <v>25</v>
      </c>
      <c r="H11" s="10"/>
      <c r="I11" s="11"/>
      <c r="J11" s="16">
        <f>ROUNDUP(DSUM(G2:J9,3,H13:H14),-3)</f>
        <v>981000</v>
      </c>
    </row>
    <row r="13" spans="1:10" x14ac:dyDescent="0.3">
      <c r="G13" s="12" t="s">
        <v>26</v>
      </c>
      <c r="H13" s="3" t="s">
        <v>145</v>
      </c>
    </row>
    <row r="14" spans="1:10" x14ac:dyDescent="0.3">
      <c r="G14" s="12"/>
      <c r="H14" s="3" t="s">
        <v>146</v>
      </c>
    </row>
  </sheetData>
  <mergeCells count="6">
    <mergeCell ref="A9:D9"/>
    <mergeCell ref="G13:G14"/>
    <mergeCell ref="G11:I11"/>
    <mergeCell ref="G10:I10"/>
    <mergeCell ref="A11:D11"/>
    <mergeCell ref="A10:D10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9A614-667B-44CD-8B2D-4ABB39BFBDB8}">
  <sheetPr>
    <tabColor rgb="FFFFFF00"/>
  </sheetPr>
  <dimension ref="A1:F13"/>
  <sheetViews>
    <sheetView workbookViewId="0">
      <selection activeCell="F3" sqref="F3"/>
    </sheetView>
  </sheetViews>
  <sheetFormatPr defaultRowHeight="16.5" x14ac:dyDescent="0.3"/>
  <cols>
    <col min="1" max="1" width="14.125" bestFit="1" customWidth="1"/>
    <col min="2" max="2" width="7.625" customWidth="1"/>
    <col min="4" max="4" width="7.625" customWidth="1"/>
    <col min="5" max="5" width="12.625" bestFit="1" customWidth="1"/>
    <col min="6" max="6" width="7.625" customWidth="1"/>
  </cols>
  <sheetData>
    <row r="1" spans="1:6" x14ac:dyDescent="0.3">
      <c r="A1" s="1" t="s">
        <v>0</v>
      </c>
    </row>
    <row r="2" spans="1:6" x14ac:dyDescent="0.3">
      <c r="A2" s="3" t="s">
        <v>33</v>
      </c>
      <c r="B2" s="3" t="s">
        <v>34</v>
      </c>
      <c r="C2" s="3" t="s">
        <v>35</v>
      </c>
      <c r="D2" s="4" t="s">
        <v>3</v>
      </c>
      <c r="E2" s="4" t="s">
        <v>36</v>
      </c>
      <c r="F2" s="4" t="s">
        <v>37</v>
      </c>
    </row>
    <row r="3" spans="1:6" x14ac:dyDescent="0.3">
      <c r="A3" s="3" t="s">
        <v>38</v>
      </c>
      <c r="B3" s="5">
        <v>5000</v>
      </c>
      <c r="C3" s="3">
        <v>84</v>
      </c>
      <c r="D3" s="14" t="str">
        <f>IF( MOD( MID(A3,8,1), 2) = 1, "남", "여")</f>
        <v>남</v>
      </c>
      <c r="E3" s="17" t="str">
        <f>INT(B3/C3) &amp; "일(" &amp; MOD(B3,C3) &amp; "남음)"</f>
        <v>59일(44남음)</v>
      </c>
      <c r="F3" s="3" t="str">
        <f>VLOOKUP( MOD(C3, 10), $B$11:$D$13, 3, TRUE)</f>
        <v>▲▲</v>
      </c>
    </row>
    <row r="4" spans="1:6" x14ac:dyDescent="0.3">
      <c r="A4" s="3" t="s">
        <v>40</v>
      </c>
      <c r="B4" s="5">
        <v>6000</v>
      </c>
      <c r="C4" s="3">
        <v>110</v>
      </c>
      <c r="D4" s="14" t="str">
        <f t="shared" ref="D4:D7" si="0">IF( MOD( MID(A4,8,1), 2) = 1, "남", "여")</f>
        <v>여</v>
      </c>
      <c r="E4" s="17" t="str">
        <f t="shared" ref="E4:E7" si="1">INT(B4/C4) &amp; "일(" &amp; MOD(B4,C4) &amp; "남음)"</f>
        <v>54일(60남음)</v>
      </c>
      <c r="F4" s="3" t="str">
        <f t="shared" ref="F4:F7" si="2">VLOOKUP( MOD(C4, 10), $B$11:$D$13, 3, TRUE)</f>
        <v>▲</v>
      </c>
    </row>
    <row r="5" spans="1:6" x14ac:dyDescent="0.3">
      <c r="A5" s="3" t="s">
        <v>42</v>
      </c>
      <c r="B5" s="5">
        <v>4500</v>
      </c>
      <c r="C5" s="3">
        <v>88</v>
      </c>
      <c r="D5" s="14" t="str">
        <f t="shared" si="0"/>
        <v>남</v>
      </c>
      <c r="E5" s="17" t="str">
        <f t="shared" si="1"/>
        <v>51일(12남음)</v>
      </c>
      <c r="F5" s="3" t="str">
        <f t="shared" si="2"/>
        <v>▲▲▲</v>
      </c>
    </row>
    <row r="6" spans="1:6" x14ac:dyDescent="0.3">
      <c r="A6" s="3" t="s">
        <v>44</v>
      </c>
      <c r="B6" s="5">
        <v>5500</v>
      </c>
      <c r="C6" s="3">
        <v>96</v>
      </c>
      <c r="D6" s="14" t="str">
        <f t="shared" si="0"/>
        <v>여</v>
      </c>
      <c r="E6" s="17" t="str">
        <f t="shared" si="1"/>
        <v>57일(28남음)</v>
      </c>
      <c r="F6" s="3" t="str">
        <f t="shared" si="2"/>
        <v>▲▲▲</v>
      </c>
    </row>
    <row r="7" spans="1:6" x14ac:dyDescent="0.3">
      <c r="A7" s="3" t="s">
        <v>45</v>
      </c>
      <c r="B7" s="5">
        <v>6500</v>
      </c>
      <c r="C7" s="3">
        <v>110</v>
      </c>
      <c r="D7" s="14" t="str">
        <f t="shared" si="0"/>
        <v>남</v>
      </c>
      <c r="E7" s="17" t="str">
        <f t="shared" si="1"/>
        <v>59일(10남음)</v>
      </c>
      <c r="F7" s="3" t="str">
        <f t="shared" si="2"/>
        <v>▲</v>
      </c>
    </row>
    <row r="9" spans="1:6" x14ac:dyDescent="0.3">
      <c r="B9" s="13" t="s">
        <v>46</v>
      </c>
      <c r="C9" s="13"/>
      <c r="D9" s="13"/>
    </row>
    <row r="10" spans="1:6" x14ac:dyDescent="0.3">
      <c r="B10" s="3" t="s">
        <v>47</v>
      </c>
      <c r="C10" s="3" t="s">
        <v>48</v>
      </c>
      <c r="D10" s="3" t="s">
        <v>37</v>
      </c>
    </row>
    <row r="11" spans="1:6" x14ac:dyDescent="0.3">
      <c r="B11" s="3">
        <v>0</v>
      </c>
      <c r="C11" s="3">
        <v>3</v>
      </c>
      <c r="D11" s="3" t="s">
        <v>41</v>
      </c>
    </row>
    <row r="12" spans="1:6" x14ac:dyDescent="0.3">
      <c r="B12" s="3">
        <v>3</v>
      </c>
      <c r="C12" s="3">
        <v>6</v>
      </c>
      <c r="D12" s="3" t="s">
        <v>39</v>
      </c>
    </row>
    <row r="13" spans="1:6" x14ac:dyDescent="0.3">
      <c r="B13" s="3">
        <v>6</v>
      </c>
      <c r="C13" s="3">
        <v>10</v>
      </c>
      <c r="D13" s="3" t="s">
        <v>43</v>
      </c>
    </row>
  </sheetData>
  <mergeCells count="1">
    <mergeCell ref="B9:D9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5B35D-7AC3-4437-B42B-4F1DE1608556}">
  <dimension ref="A1:D7"/>
  <sheetViews>
    <sheetView workbookViewId="0">
      <selection activeCell="D7" sqref="D7"/>
    </sheetView>
  </sheetViews>
  <sheetFormatPr defaultRowHeight="16.5" x14ac:dyDescent="0.3"/>
  <cols>
    <col min="4" max="4" width="11.875" bestFit="1" customWidth="1"/>
  </cols>
  <sheetData>
    <row r="1" spans="1:4" x14ac:dyDescent="0.3">
      <c r="A1" s="1" t="s">
        <v>0</v>
      </c>
    </row>
    <row r="2" spans="1:4" x14ac:dyDescent="0.3">
      <c r="A2" s="3" t="s">
        <v>165</v>
      </c>
      <c r="B2" s="3" t="s">
        <v>160</v>
      </c>
      <c r="C2" s="3" t="s">
        <v>166</v>
      </c>
      <c r="D2" s="3" t="s">
        <v>167</v>
      </c>
    </row>
    <row r="3" spans="1:4" x14ac:dyDescent="0.3">
      <c r="A3" s="3" t="s">
        <v>168</v>
      </c>
      <c r="B3" s="3" t="s">
        <v>169</v>
      </c>
      <c r="C3" s="3">
        <v>136</v>
      </c>
      <c r="D3" s="5">
        <v>2284800</v>
      </c>
    </row>
    <row r="4" spans="1:4" x14ac:dyDescent="0.3">
      <c r="A4" s="3" t="s">
        <v>170</v>
      </c>
      <c r="B4" s="3" t="s">
        <v>171</v>
      </c>
      <c r="C4" s="3">
        <v>218</v>
      </c>
      <c r="D4" s="5">
        <v>2616000</v>
      </c>
    </row>
    <row r="5" spans="1:4" x14ac:dyDescent="0.3">
      <c r="A5" s="3" t="s">
        <v>172</v>
      </c>
      <c r="B5" s="3" t="s">
        <v>173</v>
      </c>
      <c r="C5" s="3">
        <v>73</v>
      </c>
      <c r="D5" s="5">
        <v>4745000</v>
      </c>
    </row>
    <row r="6" spans="1:4" x14ac:dyDescent="0.3">
      <c r="A6" s="3" t="s">
        <v>174</v>
      </c>
      <c r="B6" s="3" t="s">
        <v>171</v>
      </c>
      <c r="C6" s="3">
        <v>387</v>
      </c>
      <c r="D6" s="5">
        <v>2167200</v>
      </c>
    </row>
    <row r="7" spans="1:4" x14ac:dyDescent="0.3">
      <c r="A7" s="9" t="s">
        <v>175</v>
      </c>
      <c r="B7" s="10"/>
      <c r="C7" s="11"/>
      <c r="D7" s="8">
        <f>SUMIF(B3:B6, "식품", D3:D6)/SUM(D3:D6)</f>
        <v>0.40490984508592232</v>
      </c>
    </row>
  </sheetData>
  <mergeCells count="1">
    <mergeCell ref="A7:C7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64150-8B18-486F-AC6A-8CD7EF31C2DA}">
  <dimension ref="A1:D9"/>
  <sheetViews>
    <sheetView workbookViewId="0">
      <selection activeCell="D9" sqref="D9"/>
    </sheetView>
  </sheetViews>
  <sheetFormatPr defaultRowHeight="16.5" x14ac:dyDescent="0.3"/>
  <sheetData>
    <row r="1" spans="1:4" x14ac:dyDescent="0.3">
      <c r="A1" s="1" t="s">
        <v>0</v>
      </c>
    </row>
    <row r="2" spans="1:4" x14ac:dyDescent="0.3">
      <c r="A2" s="3" t="s">
        <v>50</v>
      </c>
      <c r="B2" s="3" t="s">
        <v>28</v>
      </c>
      <c r="C2" s="3" t="s">
        <v>51</v>
      </c>
      <c r="D2" s="3" t="s">
        <v>52</v>
      </c>
    </row>
    <row r="3" spans="1:4" x14ac:dyDescent="0.3">
      <c r="A3" s="3" t="s">
        <v>53</v>
      </c>
      <c r="B3" s="3" t="s">
        <v>162</v>
      </c>
      <c r="C3" s="3" t="s">
        <v>163</v>
      </c>
      <c r="D3" s="5">
        <v>1560</v>
      </c>
    </row>
    <row r="4" spans="1:4" x14ac:dyDescent="0.3">
      <c r="A4" s="3" t="s">
        <v>53</v>
      </c>
      <c r="B4" s="3" t="s">
        <v>55</v>
      </c>
      <c r="C4" s="3" t="s">
        <v>163</v>
      </c>
      <c r="D4" s="5">
        <v>2030</v>
      </c>
    </row>
    <row r="5" spans="1:4" x14ac:dyDescent="0.3">
      <c r="A5" s="3" t="s">
        <v>56</v>
      </c>
      <c r="B5" s="3" t="s">
        <v>54</v>
      </c>
      <c r="C5" s="3" t="s">
        <v>164</v>
      </c>
      <c r="D5" s="5">
        <v>1720</v>
      </c>
    </row>
    <row r="6" spans="1:4" x14ac:dyDescent="0.3">
      <c r="A6" s="3" t="s">
        <v>56</v>
      </c>
      <c r="B6" s="3" t="s">
        <v>55</v>
      </c>
      <c r="C6" s="3" t="s">
        <v>164</v>
      </c>
      <c r="D6" s="5">
        <v>2100</v>
      </c>
    </row>
    <row r="7" spans="1:4" x14ac:dyDescent="0.3">
      <c r="A7" s="3" t="s">
        <v>57</v>
      </c>
      <c r="B7" s="3" t="s">
        <v>54</v>
      </c>
      <c r="C7" s="3" t="s">
        <v>163</v>
      </c>
      <c r="D7" s="5">
        <v>1800</v>
      </c>
    </row>
    <row r="8" spans="1:4" x14ac:dyDescent="0.3">
      <c r="A8" s="3" t="s">
        <v>57</v>
      </c>
      <c r="B8" s="3" t="s">
        <v>55</v>
      </c>
      <c r="C8" s="3" t="s">
        <v>163</v>
      </c>
      <c r="D8" s="5">
        <v>2100</v>
      </c>
    </row>
    <row r="9" spans="1:4" x14ac:dyDescent="0.3">
      <c r="A9" s="9" t="s">
        <v>58</v>
      </c>
      <c r="B9" s="10"/>
      <c r="C9" s="11"/>
      <c r="D9" s="5">
        <f>SUMIFS(D3:D8, B3:B8, "생산1부", C3:C8, "냉장고")</f>
        <v>3360</v>
      </c>
    </row>
  </sheetData>
  <mergeCells count="1">
    <mergeCell ref="A9:C9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F0511-BE1C-4103-8AF7-35E7E1F739F9}">
  <dimension ref="A1:D7"/>
  <sheetViews>
    <sheetView workbookViewId="0">
      <selection activeCell="D7" sqref="D7"/>
    </sheetView>
  </sheetViews>
  <sheetFormatPr defaultRowHeight="16.5" x14ac:dyDescent="0.3"/>
  <sheetData>
    <row r="1" spans="1:4" x14ac:dyDescent="0.3">
      <c r="A1" s="1" t="s">
        <v>0</v>
      </c>
    </row>
    <row r="2" spans="1:4" x14ac:dyDescent="0.3">
      <c r="A2" s="3" t="s">
        <v>59</v>
      </c>
      <c r="B2" s="3" t="s">
        <v>51</v>
      </c>
      <c r="C2" s="3" t="s">
        <v>60</v>
      </c>
      <c r="D2" s="3" t="s">
        <v>30</v>
      </c>
    </row>
    <row r="3" spans="1:4" x14ac:dyDescent="0.3">
      <c r="A3" s="3" t="s">
        <v>61</v>
      </c>
      <c r="B3" s="3" t="s">
        <v>62</v>
      </c>
      <c r="C3" s="5">
        <v>3200</v>
      </c>
      <c r="D3" s="5">
        <v>3360</v>
      </c>
    </row>
    <row r="4" spans="1:4" x14ac:dyDescent="0.3">
      <c r="A4" s="3" t="s">
        <v>61</v>
      </c>
      <c r="B4" s="3" t="s">
        <v>63</v>
      </c>
      <c r="C4" s="5">
        <v>5000</v>
      </c>
      <c r="D4" s="5">
        <v>4750</v>
      </c>
    </row>
    <row r="5" spans="1:4" x14ac:dyDescent="0.3">
      <c r="A5" s="3" t="s">
        <v>64</v>
      </c>
      <c r="B5" s="3" t="s">
        <v>62</v>
      </c>
      <c r="C5" s="5">
        <v>3000</v>
      </c>
      <c r="D5" s="5">
        <v>2840</v>
      </c>
    </row>
    <row r="6" spans="1:4" x14ac:dyDescent="0.3">
      <c r="A6" s="3" t="s">
        <v>64</v>
      </c>
      <c r="B6" s="3" t="s">
        <v>63</v>
      </c>
      <c r="C6" s="5">
        <v>5500</v>
      </c>
      <c r="D6" s="5">
        <v>5810</v>
      </c>
    </row>
    <row r="7" spans="1:4" x14ac:dyDescent="0.3">
      <c r="A7" s="9" t="s">
        <v>65</v>
      </c>
      <c r="B7" s="10"/>
      <c r="C7" s="11"/>
      <c r="D7" s="5">
        <f>ABS( SUMIF(B3:B6, "신라면", D3:D6)- SUMIF(B3:B6, "진짬뽕", D3:D6) )</f>
        <v>4360</v>
      </c>
    </row>
  </sheetData>
  <mergeCells count="1">
    <mergeCell ref="A7:C7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CC430-A293-4880-B64F-8EE21D75BC50}">
  <dimension ref="A1:D7"/>
  <sheetViews>
    <sheetView workbookViewId="0">
      <selection activeCell="H34" sqref="H34"/>
    </sheetView>
  </sheetViews>
  <sheetFormatPr defaultRowHeight="16.5" x14ac:dyDescent="0.3"/>
  <cols>
    <col min="4" max="4" width="10.375" bestFit="1" customWidth="1"/>
  </cols>
  <sheetData>
    <row r="1" spans="1:4" x14ac:dyDescent="0.3">
      <c r="A1" s="1" t="s">
        <v>0</v>
      </c>
    </row>
    <row r="2" spans="1:4" x14ac:dyDescent="0.3">
      <c r="A2" s="3" t="s">
        <v>66</v>
      </c>
      <c r="B2" s="3" t="s">
        <v>67</v>
      </c>
      <c r="C2" s="3" t="s">
        <v>68</v>
      </c>
      <c r="D2" s="4" t="s">
        <v>69</v>
      </c>
    </row>
    <row r="3" spans="1:4" x14ac:dyDescent="0.3">
      <c r="A3" s="3" t="s">
        <v>70</v>
      </c>
      <c r="B3" s="3">
        <v>61</v>
      </c>
      <c r="C3" s="3">
        <v>1.63</v>
      </c>
      <c r="D3" s="3" t="str">
        <f>IF( (B3/POWER(C3,2)) &lt; 20, "저체중",  IF( (B3/POWER(C3,2)) &lt; 25, "정상", "비만") )</f>
        <v>정상</v>
      </c>
    </row>
    <row r="4" spans="1:4" x14ac:dyDescent="0.3">
      <c r="A4" s="3" t="s">
        <v>71</v>
      </c>
      <c r="B4" s="3">
        <v>86</v>
      </c>
      <c r="C4" s="3">
        <v>1.72</v>
      </c>
      <c r="D4" s="3" t="str">
        <f t="shared" ref="D4:D7" si="0">IF( (B4/POWER(C4,2)) &lt; 20, "저체중",  IF( (B4/POWER(C4,2)) &lt; 25, "정상", "비만") )</f>
        <v>비만</v>
      </c>
    </row>
    <row r="5" spans="1:4" x14ac:dyDescent="0.3">
      <c r="A5" s="3" t="s">
        <v>72</v>
      </c>
      <c r="B5" s="3">
        <v>53</v>
      </c>
      <c r="C5" s="3">
        <v>1.68</v>
      </c>
      <c r="D5" s="3" t="str">
        <f t="shared" si="0"/>
        <v>저체중</v>
      </c>
    </row>
    <row r="6" spans="1:4" x14ac:dyDescent="0.3">
      <c r="A6" s="3" t="s">
        <v>73</v>
      </c>
      <c r="B6" s="3">
        <v>72</v>
      </c>
      <c r="C6" s="3">
        <v>1.85</v>
      </c>
      <c r="D6" s="3" t="str">
        <f t="shared" si="0"/>
        <v>정상</v>
      </c>
    </row>
    <row r="7" spans="1:4" x14ac:dyDescent="0.3">
      <c r="A7" s="3" t="s">
        <v>74</v>
      </c>
      <c r="B7" s="3">
        <v>51</v>
      </c>
      <c r="C7" s="3">
        <v>1.59</v>
      </c>
      <c r="D7" s="3" t="str">
        <f t="shared" si="0"/>
        <v>정상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I35"/>
  <sheetViews>
    <sheetView tabSelected="1" topLeftCell="A7" workbookViewId="0">
      <selection activeCell="H37" sqref="H37"/>
    </sheetView>
  </sheetViews>
  <sheetFormatPr defaultRowHeight="16.5" x14ac:dyDescent="0.3"/>
  <cols>
    <col min="1" max="1" width="10.75" bestFit="1" customWidth="1"/>
    <col min="8" max="8" width="11" bestFit="1" customWidth="1"/>
    <col min="9" max="9" width="10.875" bestFit="1" customWidth="1"/>
  </cols>
  <sheetData>
    <row r="1" spans="1:9" x14ac:dyDescent="0.3">
      <c r="A1" s="1" t="s">
        <v>0</v>
      </c>
      <c r="B1" s="6" t="s">
        <v>76</v>
      </c>
      <c r="F1" s="2" t="s">
        <v>1</v>
      </c>
      <c r="G1" s="6" t="s">
        <v>77</v>
      </c>
    </row>
    <row r="2" spans="1:9" x14ac:dyDescent="0.3">
      <c r="A2" s="3" t="s">
        <v>59</v>
      </c>
      <c r="B2" s="3" t="s">
        <v>27</v>
      </c>
      <c r="C2" s="3" t="s">
        <v>29</v>
      </c>
      <c r="D2" s="3" t="s">
        <v>78</v>
      </c>
      <c r="F2" s="3" t="s">
        <v>79</v>
      </c>
      <c r="G2" s="3" t="s">
        <v>80</v>
      </c>
      <c r="H2" s="3" t="s">
        <v>7</v>
      </c>
      <c r="I2" s="3" t="s">
        <v>81</v>
      </c>
    </row>
    <row r="3" spans="1:9" x14ac:dyDescent="0.3">
      <c r="A3" s="3" t="s">
        <v>82</v>
      </c>
      <c r="B3" s="3" t="s">
        <v>83</v>
      </c>
      <c r="C3" s="3" t="s">
        <v>31</v>
      </c>
      <c r="D3" s="3">
        <v>8</v>
      </c>
      <c r="F3" s="3" t="s">
        <v>84</v>
      </c>
      <c r="G3" s="3">
        <v>2.5</v>
      </c>
      <c r="H3" s="3" t="s">
        <v>85</v>
      </c>
      <c r="I3" s="5">
        <v>189500</v>
      </c>
    </row>
    <row r="4" spans="1:9" x14ac:dyDescent="0.3">
      <c r="A4" s="3" t="s">
        <v>86</v>
      </c>
      <c r="B4" s="3" t="s">
        <v>87</v>
      </c>
      <c r="C4" s="3" t="s">
        <v>31</v>
      </c>
      <c r="D4" s="3">
        <v>7</v>
      </c>
      <c r="F4" s="3" t="s">
        <v>88</v>
      </c>
      <c r="G4" s="3">
        <v>2</v>
      </c>
      <c r="H4" s="3" t="s">
        <v>89</v>
      </c>
      <c r="I4" s="5">
        <v>250600</v>
      </c>
    </row>
    <row r="5" spans="1:9" x14ac:dyDescent="0.3">
      <c r="A5" s="3" t="s">
        <v>86</v>
      </c>
      <c r="B5" s="3" t="s">
        <v>90</v>
      </c>
      <c r="C5" s="3" t="s">
        <v>32</v>
      </c>
      <c r="D5" s="3">
        <v>7</v>
      </c>
      <c r="F5" s="3" t="s">
        <v>91</v>
      </c>
      <c r="G5" s="3">
        <v>3.2</v>
      </c>
      <c r="H5" s="3" t="s">
        <v>89</v>
      </c>
      <c r="I5" s="5">
        <v>400960</v>
      </c>
    </row>
    <row r="6" spans="1:9" x14ac:dyDescent="0.3">
      <c r="A6" s="3" t="s">
        <v>82</v>
      </c>
      <c r="B6" s="3" t="s">
        <v>92</v>
      </c>
      <c r="C6" s="3" t="s">
        <v>32</v>
      </c>
      <c r="D6" s="3">
        <v>6</v>
      </c>
      <c r="F6" s="3" t="s">
        <v>93</v>
      </c>
      <c r="G6" s="3">
        <v>3.9</v>
      </c>
      <c r="H6" s="3" t="s">
        <v>85</v>
      </c>
      <c r="I6" s="5">
        <v>295620</v>
      </c>
    </row>
    <row r="7" spans="1:9" x14ac:dyDescent="0.3">
      <c r="A7" s="3" t="s">
        <v>82</v>
      </c>
      <c r="B7" s="3" t="s">
        <v>94</v>
      </c>
      <c r="C7" s="3" t="s">
        <v>32</v>
      </c>
      <c r="D7" s="3">
        <v>9</v>
      </c>
      <c r="F7" s="3" t="s">
        <v>95</v>
      </c>
      <c r="G7" s="3">
        <v>1.3</v>
      </c>
      <c r="H7" s="3" t="s">
        <v>85</v>
      </c>
      <c r="I7" s="5">
        <v>98540</v>
      </c>
    </row>
    <row r="8" spans="1:9" x14ac:dyDescent="0.3">
      <c r="A8" s="3" t="s">
        <v>86</v>
      </c>
      <c r="B8" s="3" t="s">
        <v>96</v>
      </c>
      <c r="C8" s="3" t="s">
        <v>32</v>
      </c>
      <c r="D8" s="3">
        <v>4</v>
      </c>
      <c r="F8" s="3" t="s">
        <v>97</v>
      </c>
      <c r="G8" s="3">
        <v>2.2000000000000002</v>
      </c>
      <c r="H8" s="3" t="s">
        <v>89</v>
      </c>
      <c r="I8" s="5">
        <v>275660</v>
      </c>
    </row>
    <row r="9" spans="1:9" x14ac:dyDescent="0.3">
      <c r="A9" s="3" t="s">
        <v>82</v>
      </c>
      <c r="B9" s="3" t="s">
        <v>75</v>
      </c>
      <c r="C9" s="3" t="s">
        <v>32</v>
      </c>
      <c r="D9" s="3">
        <v>4</v>
      </c>
      <c r="F9" s="3" t="s">
        <v>98</v>
      </c>
      <c r="G9" s="3">
        <v>2.8</v>
      </c>
      <c r="H9" s="3" t="s">
        <v>85</v>
      </c>
      <c r="I9" s="5">
        <v>212240</v>
      </c>
    </row>
    <row r="10" spans="1:9" x14ac:dyDescent="0.3">
      <c r="A10" s="9" t="s">
        <v>99</v>
      </c>
      <c r="B10" s="10"/>
      <c r="C10" s="11"/>
      <c r="D10" s="3">
        <f>ROUNDUP( AVERAGEIFS(D3:D9, A3:A9, "동부", C3:C9, "대리"), 1)</f>
        <v>6.3999999999999995</v>
      </c>
      <c r="F10" s="9" t="s">
        <v>100</v>
      </c>
      <c r="G10" s="10"/>
      <c r="H10" s="11"/>
      <c r="I10" s="5">
        <f>ROUNDUP(DSUM(F2:I9,4,H2:H3), -3)</f>
        <v>796000</v>
      </c>
    </row>
    <row r="12" spans="1:9" x14ac:dyDescent="0.3">
      <c r="A12" s="2" t="s">
        <v>101</v>
      </c>
      <c r="B12" s="6" t="s">
        <v>102</v>
      </c>
      <c r="F12" s="2" t="s">
        <v>103</v>
      </c>
      <c r="G12" s="6" t="s">
        <v>104</v>
      </c>
    </row>
    <row r="13" spans="1:9" x14ac:dyDescent="0.3">
      <c r="A13" s="3" t="s">
        <v>105</v>
      </c>
      <c r="B13" s="3" t="s">
        <v>106</v>
      </c>
      <c r="C13" s="3" t="s">
        <v>107</v>
      </c>
      <c r="D13" s="3" t="s">
        <v>108</v>
      </c>
      <c r="F13" s="3" t="s">
        <v>109</v>
      </c>
      <c r="G13" s="3" t="s">
        <v>176</v>
      </c>
      <c r="H13" s="3" t="s">
        <v>177</v>
      </c>
      <c r="I13" s="3" t="s">
        <v>178</v>
      </c>
    </row>
    <row r="14" spans="1:9" x14ac:dyDescent="0.3">
      <c r="A14" s="3">
        <v>2456016</v>
      </c>
      <c r="B14" s="3" t="s">
        <v>110</v>
      </c>
      <c r="C14" s="3" t="s">
        <v>111</v>
      </c>
      <c r="D14" s="3">
        <v>2.2309999999999999</v>
      </c>
      <c r="F14" s="3" t="s">
        <v>112</v>
      </c>
      <c r="G14" s="3" t="s">
        <v>179</v>
      </c>
      <c r="H14" s="3">
        <v>481</v>
      </c>
      <c r="I14" s="3">
        <v>441</v>
      </c>
    </row>
    <row r="15" spans="1:9" x14ac:dyDescent="0.3">
      <c r="A15" s="3">
        <v>2489524</v>
      </c>
      <c r="B15" s="3" t="s">
        <v>113</v>
      </c>
      <c r="C15" s="3" t="s">
        <v>114</v>
      </c>
      <c r="D15" s="3">
        <v>2.948</v>
      </c>
      <c r="F15" s="3" t="s">
        <v>115</v>
      </c>
      <c r="G15" s="3" t="s">
        <v>180</v>
      </c>
      <c r="H15" s="3">
        <v>347</v>
      </c>
      <c r="I15" s="3">
        <v>299</v>
      </c>
    </row>
    <row r="16" spans="1:9" x14ac:dyDescent="0.3">
      <c r="A16" s="3">
        <v>2491658</v>
      </c>
      <c r="B16" s="3" t="s">
        <v>116</v>
      </c>
      <c r="C16" s="3" t="s">
        <v>117</v>
      </c>
      <c r="D16" s="3">
        <v>3.26</v>
      </c>
      <c r="F16" s="3" t="s">
        <v>115</v>
      </c>
      <c r="G16" s="3" t="s">
        <v>181</v>
      </c>
      <c r="H16" s="3">
        <v>305</v>
      </c>
      <c r="I16" s="3">
        <v>376</v>
      </c>
    </row>
    <row r="17" spans="1:9" x14ac:dyDescent="0.3">
      <c r="A17" s="3">
        <v>2462579</v>
      </c>
      <c r="B17" s="3" t="s">
        <v>118</v>
      </c>
      <c r="C17" s="3" t="s">
        <v>111</v>
      </c>
      <c r="D17" s="3">
        <v>3.665</v>
      </c>
      <c r="F17" s="3" t="s">
        <v>112</v>
      </c>
      <c r="G17" s="3" t="s">
        <v>182</v>
      </c>
      <c r="H17" s="3">
        <v>493</v>
      </c>
      <c r="I17" s="3">
        <v>536</v>
      </c>
    </row>
    <row r="18" spans="1:9" x14ac:dyDescent="0.3">
      <c r="A18" s="3">
        <v>2433841</v>
      </c>
      <c r="B18" s="3" t="s">
        <v>119</v>
      </c>
      <c r="C18" s="3" t="s">
        <v>117</v>
      </c>
      <c r="D18" s="3">
        <v>2.61</v>
      </c>
      <c r="F18" s="3" t="s">
        <v>112</v>
      </c>
      <c r="G18" s="3" t="s">
        <v>183</v>
      </c>
      <c r="H18" s="3">
        <v>424</v>
      </c>
      <c r="I18" s="3">
        <v>408</v>
      </c>
    </row>
    <row r="19" spans="1:9" x14ac:dyDescent="0.3">
      <c r="A19" s="3">
        <v>2496742</v>
      </c>
      <c r="B19" s="3" t="s">
        <v>120</v>
      </c>
      <c r="C19" s="3" t="s">
        <v>111</v>
      </c>
      <c r="D19" s="3">
        <v>3.4020000000000001</v>
      </c>
      <c r="F19" s="3" t="s">
        <v>115</v>
      </c>
      <c r="G19" s="3" t="s">
        <v>184</v>
      </c>
      <c r="H19" s="3">
        <v>382</v>
      </c>
      <c r="I19" s="3">
        <v>445</v>
      </c>
    </row>
    <row r="20" spans="1:9" x14ac:dyDescent="0.3">
      <c r="A20" s="3">
        <v>2426476</v>
      </c>
      <c r="B20" s="3" t="s">
        <v>121</v>
      </c>
      <c r="C20" s="3" t="s">
        <v>114</v>
      </c>
      <c r="D20" s="3">
        <v>4.2300000000000004</v>
      </c>
      <c r="F20" s="3" t="s">
        <v>115</v>
      </c>
      <c r="G20" s="3" t="s">
        <v>185</v>
      </c>
      <c r="H20" s="3">
        <v>329</v>
      </c>
      <c r="I20" s="3">
        <v>303</v>
      </c>
    </row>
    <row r="21" spans="1:9" x14ac:dyDescent="0.3">
      <c r="A21" s="9" t="s">
        <v>122</v>
      </c>
      <c r="B21" s="10"/>
      <c r="C21" s="11"/>
      <c r="D21" s="3" t="str">
        <f>ROUNDDOWN( DAVERAGE(A13:D20,4,C13:C14), 2 )&amp;"점"</f>
        <v>3.09점</v>
      </c>
      <c r="F21" s="9" t="s">
        <v>186</v>
      </c>
      <c r="G21" s="10"/>
      <c r="H21" s="11"/>
      <c r="I21" s="18">
        <f>ABS(AVERAGEIF(F14:F20,"바지", I14:I20) - AVERAGEIF(F14:F20,"바지", H14:H20))</f>
        <v>15</v>
      </c>
    </row>
    <row r="23" spans="1:9" x14ac:dyDescent="0.3">
      <c r="A23" s="2" t="s">
        <v>123</v>
      </c>
      <c r="B23" s="6" t="s">
        <v>161</v>
      </c>
      <c r="E23" s="2" t="s">
        <v>124</v>
      </c>
      <c r="F23" s="6" t="s">
        <v>125</v>
      </c>
      <c r="I23" t="s">
        <v>126</v>
      </c>
    </row>
    <row r="24" spans="1:9" x14ac:dyDescent="0.3">
      <c r="A24" s="3" t="s">
        <v>147</v>
      </c>
      <c r="B24" s="3" t="s">
        <v>148</v>
      </c>
      <c r="C24" s="4" t="s">
        <v>160</v>
      </c>
      <c r="E24" s="3" t="s">
        <v>49</v>
      </c>
      <c r="F24" s="3" t="s">
        <v>109</v>
      </c>
      <c r="G24" s="3" t="s">
        <v>127</v>
      </c>
      <c r="H24" s="3" t="s">
        <v>128</v>
      </c>
      <c r="I24" s="3" t="s">
        <v>129</v>
      </c>
    </row>
    <row r="25" spans="1:9" x14ac:dyDescent="0.3">
      <c r="A25" s="7">
        <v>45477</v>
      </c>
      <c r="B25" s="3" t="s">
        <v>149</v>
      </c>
      <c r="C25" s="3" t="str">
        <f>IF( MOD(DAY(A25), 5) = 0, "오전", "오후" )</f>
        <v>오후</v>
      </c>
      <c r="E25" s="3" t="s">
        <v>130</v>
      </c>
      <c r="F25" s="3" t="s">
        <v>131</v>
      </c>
      <c r="G25" s="3" t="s">
        <v>132</v>
      </c>
      <c r="H25" s="5">
        <v>3600</v>
      </c>
      <c r="I25" s="5">
        <v>450000</v>
      </c>
    </row>
    <row r="26" spans="1:9" x14ac:dyDescent="0.3">
      <c r="A26" s="7">
        <v>45478</v>
      </c>
      <c r="B26" s="3" t="s">
        <v>150</v>
      </c>
      <c r="C26" s="3" t="str">
        <f t="shared" ref="C26:C35" si="0">IF( MOD(DAY(A26), 5) = 0, "오전", "오후" )</f>
        <v>오전</v>
      </c>
      <c r="E26" s="3" t="s">
        <v>133</v>
      </c>
      <c r="F26" s="3" t="s">
        <v>131</v>
      </c>
      <c r="G26" s="3" t="s">
        <v>134</v>
      </c>
      <c r="H26" s="5">
        <v>4500</v>
      </c>
      <c r="I26" s="5">
        <v>562500</v>
      </c>
    </row>
    <row r="27" spans="1:9" x14ac:dyDescent="0.3">
      <c r="A27" s="7">
        <v>45479</v>
      </c>
      <c r="B27" s="3" t="s">
        <v>151</v>
      </c>
      <c r="C27" s="3" t="str">
        <f t="shared" si="0"/>
        <v>오후</v>
      </c>
      <c r="E27" s="3" t="s">
        <v>135</v>
      </c>
      <c r="F27" s="3" t="s">
        <v>136</v>
      </c>
      <c r="G27" s="3" t="s">
        <v>132</v>
      </c>
      <c r="H27" s="5">
        <v>3200</v>
      </c>
      <c r="I27" s="5">
        <v>400000</v>
      </c>
    </row>
    <row r="28" spans="1:9" x14ac:dyDescent="0.3">
      <c r="A28" s="7">
        <v>45486</v>
      </c>
      <c r="B28" s="3" t="s">
        <v>152</v>
      </c>
      <c r="C28" s="3" t="str">
        <f t="shared" si="0"/>
        <v>오후</v>
      </c>
      <c r="E28" s="3" t="s">
        <v>137</v>
      </c>
      <c r="F28" s="3" t="s">
        <v>131</v>
      </c>
      <c r="G28" s="3" t="s">
        <v>132</v>
      </c>
      <c r="H28" s="5">
        <v>4000</v>
      </c>
      <c r="I28" s="5">
        <v>500000</v>
      </c>
    </row>
    <row r="29" spans="1:9" x14ac:dyDescent="0.3">
      <c r="A29" s="7">
        <v>45487</v>
      </c>
      <c r="B29" s="3" t="s">
        <v>153</v>
      </c>
      <c r="C29" s="3" t="str">
        <f t="shared" si="0"/>
        <v>오후</v>
      </c>
      <c r="E29" s="3" t="s">
        <v>138</v>
      </c>
      <c r="F29" s="3" t="s">
        <v>131</v>
      </c>
      <c r="G29" s="3" t="s">
        <v>139</v>
      </c>
      <c r="H29" s="5">
        <v>5000</v>
      </c>
      <c r="I29" s="5">
        <v>625000</v>
      </c>
    </row>
    <row r="30" spans="1:9" x14ac:dyDescent="0.3">
      <c r="A30" s="7">
        <v>45488</v>
      </c>
      <c r="B30" s="3" t="s">
        <v>154</v>
      </c>
      <c r="C30" s="3" t="str">
        <f t="shared" si="0"/>
        <v>오전</v>
      </c>
      <c r="E30" s="3" t="s">
        <v>140</v>
      </c>
      <c r="F30" s="3" t="s">
        <v>136</v>
      </c>
      <c r="G30" s="3" t="s">
        <v>134</v>
      </c>
      <c r="H30" s="5">
        <v>4500</v>
      </c>
      <c r="I30" s="5">
        <v>562500</v>
      </c>
    </row>
    <row r="31" spans="1:9" x14ac:dyDescent="0.3">
      <c r="A31" s="7">
        <v>45491</v>
      </c>
      <c r="B31" s="3" t="s">
        <v>155</v>
      </c>
      <c r="C31" s="3" t="str">
        <f t="shared" si="0"/>
        <v>오후</v>
      </c>
      <c r="E31" s="3" t="s">
        <v>141</v>
      </c>
      <c r="F31" s="3" t="s">
        <v>136</v>
      </c>
      <c r="G31" s="3" t="s">
        <v>139</v>
      </c>
      <c r="H31" s="5">
        <v>3800</v>
      </c>
      <c r="I31" s="5">
        <v>475000</v>
      </c>
    </row>
    <row r="32" spans="1:9" x14ac:dyDescent="0.3">
      <c r="A32" s="7">
        <v>45492</v>
      </c>
      <c r="B32" s="3" t="s">
        <v>156</v>
      </c>
      <c r="C32" s="3" t="str">
        <f t="shared" si="0"/>
        <v>오후</v>
      </c>
      <c r="E32" s="3" t="s">
        <v>142</v>
      </c>
      <c r="F32" s="3" t="s">
        <v>131</v>
      </c>
      <c r="G32" s="3" t="s">
        <v>132</v>
      </c>
      <c r="H32" s="5">
        <v>4200</v>
      </c>
      <c r="I32" s="5">
        <v>525000</v>
      </c>
    </row>
    <row r="33" spans="1:9" x14ac:dyDescent="0.3">
      <c r="A33" s="7">
        <v>45493</v>
      </c>
      <c r="B33" s="3" t="s">
        <v>157</v>
      </c>
      <c r="C33" s="3" t="str">
        <f t="shared" si="0"/>
        <v>오전</v>
      </c>
    </row>
    <row r="34" spans="1:9" x14ac:dyDescent="0.3">
      <c r="A34" s="7">
        <v>45498</v>
      </c>
      <c r="B34" s="3" t="s">
        <v>158</v>
      </c>
      <c r="C34" s="3" t="str">
        <f t="shared" si="0"/>
        <v>오전</v>
      </c>
      <c r="F34" s="3" t="s">
        <v>131</v>
      </c>
      <c r="G34" s="3" t="s">
        <v>132</v>
      </c>
      <c r="H34" s="4" t="s">
        <v>143</v>
      </c>
      <c r="I34" s="4" t="s">
        <v>144</v>
      </c>
    </row>
    <row r="35" spans="1:9" x14ac:dyDescent="0.3">
      <c r="A35" s="7">
        <v>45499</v>
      </c>
      <c r="B35" s="3" t="s">
        <v>159</v>
      </c>
      <c r="C35" s="3" t="str">
        <f t="shared" si="0"/>
        <v>오후</v>
      </c>
      <c r="H35" s="5">
        <f>SUMIFS(H$25:H$32, $F$25:$F$32, $F$34, $G$25:$G$32, $G$34)</f>
        <v>11800</v>
      </c>
      <c r="I35" s="5">
        <f>SUMIFS(I$25:I$32, $F$25:$F$32, $F$34, $G$25:$G$32, $G$34)</f>
        <v>1475000</v>
      </c>
    </row>
  </sheetData>
  <mergeCells count="4">
    <mergeCell ref="A10:C10"/>
    <mergeCell ref="F10:H10"/>
    <mergeCell ref="A21:C21"/>
    <mergeCell ref="F21:H21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출제유형_01_유형1~6</vt:lpstr>
      <vt:lpstr>02_유형1~3</vt:lpstr>
      <vt:lpstr>03_유형1</vt:lpstr>
      <vt:lpstr>04_유형1</vt:lpstr>
      <vt:lpstr>05_유형1</vt:lpstr>
      <vt:lpstr>06_유형1</vt:lpstr>
      <vt:lpstr>대표기출문제_기출1~6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user</cp:lastModifiedBy>
  <dcterms:created xsi:type="dcterms:W3CDTF">2023-04-27T08:01:32Z</dcterms:created>
  <dcterms:modified xsi:type="dcterms:W3CDTF">2025-12-04T08:04:25Z</dcterms:modified>
</cp:coreProperties>
</file>