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2D2F2C5D-9941-4C9F-A949-B371F708E8E4}" xr6:coauthVersionLast="47" xr6:coauthVersionMax="47" xr10:uidLastSave="{00000000-0000-0000-0000-000000000000}"/>
  <bookViews>
    <workbookView xWindow="13785" yWindow="1590" windowWidth="14460" windowHeight="11325" tabRatio="926" activeTab="5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2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" i="10" l="1"/>
  <c r="F5" i="10"/>
  <c r="F6" i="10"/>
  <c r="F7" i="10"/>
  <c r="F3" i="10"/>
  <c r="D4" i="9"/>
  <c r="D5" i="9"/>
  <c r="D6" i="9"/>
  <c r="D7" i="9"/>
  <c r="D3" i="9"/>
  <c r="E4" i="6"/>
  <c r="E5" i="6"/>
  <c r="E6" i="6"/>
  <c r="E7" i="6"/>
  <c r="E3" i="6"/>
  <c r="D4" i="1"/>
  <c r="D5" i="1"/>
  <c r="D6" i="1"/>
  <c r="D7" i="1"/>
  <c r="D8" i="1"/>
  <c r="D9" i="1"/>
  <c r="D3" i="1"/>
  <c r="D28" i="1"/>
  <c r="D29" i="1"/>
  <c r="D30" i="1"/>
  <c r="D26" i="1"/>
  <c r="D27" i="1"/>
  <c r="D25" i="1"/>
  <c r="D24" i="1"/>
  <c r="I14" i="1"/>
  <c r="I15" i="1"/>
  <c r="I16" i="1"/>
  <c r="I17" i="1"/>
  <c r="I18" i="1"/>
  <c r="I19" i="1"/>
  <c r="I20" i="1"/>
  <c r="I13" i="1"/>
  <c r="D14" i="1"/>
  <c r="D15" i="1"/>
  <c r="D16" i="1"/>
  <c r="D17" i="1"/>
  <c r="D18" i="1"/>
  <c r="D19" i="1"/>
  <c r="D20" i="1"/>
  <c r="D13" i="1"/>
  <c r="I4" i="1"/>
  <c r="I5" i="1"/>
  <c r="I6" i="1"/>
  <c r="I7" i="1"/>
  <c r="I8" i="1"/>
  <c r="I9" i="1"/>
  <c r="I3" i="1"/>
  <c r="E3" i="21"/>
  <c r="E4" i="10"/>
  <c r="E5" i="10"/>
  <c r="E6" i="10"/>
  <c r="E7" i="10"/>
  <c r="E3" i="10"/>
  <c r="D4" i="8"/>
  <c r="D5" i="8"/>
  <c r="D6" i="8"/>
  <c r="D7" i="8"/>
  <c r="D3" i="8"/>
  <c r="D7" i="21" l="1"/>
  <c r="D6" i="21"/>
  <c r="D5" i="21"/>
  <c r="D4" i="21"/>
  <c r="D3" i="21"/>
  <c r="B7" i="21" l="1"/>
  <c r="B6" i="21"/>
  <c r="B5" i="21"/>
  <c r="B4" i="21"/>
  <c r="B3" i="21"/>
</calcChain>
</file>

<file path=xl/sharedStrings.xml><?xml version="1.0" encoding="utf-8"?>
<sst xmlns="http://schemas.openxmlformats.org/spreadsheetml/2006/main" count="150" uniqueCount="124">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</sst>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workbookViewId="0">
      <selection activeCell="E3" sqref="E3"/>
    </sheetView>
  </sheetViews>
  <sheetFormatPr defaultRowHeight="16.5" x14ac:dyDescent="0.3"/>
  <cols>
    <col min="4" max="4" width="11.125" bestFit="1" customWidth="1"/>
  </cols>
  <sheetData>
    <row r="1" spans="1:5" x14ac:dyDescent="0.3">
      <c r="A1" s="1" t="s">
        <v>0</v>
      </c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2" t="s">
        <v>7</v>
      </c>
      <c r="C3" s="2" t="s">
        <v>8</v>
      </c>
      <c r="D3" s="3">
        <v>45360</v>
      </c>
      <c r="E3" s="2" t="str">
        <f>IF(AND(DAY(D3)&gt;=10, DAY(D3)&lt;=20), "발송", "")</f>
        <v/>
      </c>
    </row>
    <row r="4" spans="1:5" x14ac:dyDescent="0.3">
      <c r="A4" s="2" t="s">
        <v>9</v>
      </c>
      <c r="B4" s="2" t="s">
        <v>10</v>
      </c>
      <c r="C4" s="2" t="s">
        <v>11</v>
      </c>
      <c r="D4" s="3">
        <v>45364</v>
      </c>
      <c r="E4" s="2" t="str">
        <f t="shared" ref="E4:E7" si="0">IF(AND(DAY(D4)&gt;=10, DAY(D4)&lt;=20), "발송", "")</f>
        <v>발송</v>
      </c>
    </row>
    <row r="5" spans="1:5" x14ac:dyDescent="0.3">
      <c r="A5" s="2" t="s">
        <v>12</v>
      </c>
      <c r="B5" s="2" t="s">
        <v>13</v>
      </c>
      <c r="C5" s="2" t="s">
        <v>14</v>
      </c>
      <c r="D5" s="3">
        <v>45366</v>
      </c>
      <c r="E5" s="2" t="str">
        <f t="shared" si="0"/>
        <v>발송</v>
      </c>
    </row>
    <row r="6" spans="1:5" x14ac:dyDescent="0.3">
      <c r="A6" s="2" t="s">
        <v>15</v>
      </c>
      <c r="B6" s="2" t="s">
        <v>16</v>
      </c>
      <c r="C6" s="2" t="s">
        <v>17</v>
      </c>
      <c r="D6" s="3">
        <v>45372</v>
      </c>
      <c r="E6" s="2" t="str">
        <f t="shared" si="0"/>
        <v/>
      </c>
    </row>
    <row r="7" spans="1:5" x14ac:dyDescent="0.3">
      <c r="A7" s="2" t="s">
        <v>18</v>
      </c>
      <c r="B7" s="2" t="s">
        <v>19</v>
      </c>
      <c r="C7" s="2" t="s">
        <v>20</v>
      </c>
      <c r="D7" s="3">
        <v>45375</v>
      </c>
      <c r="E7" s="2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activeCell="D3" sqref="D3"/>
    </sheetView>
  </sheetViews>
  <sheetFormatPr defaultRowHeight="16.5" x14ac:dyDescent="0.3"/>
  <cols>
    <col min="3" max="3" width="14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3">
      <c r="A3" s="2" t="s">
        <v>25</v>
      </c>
      <c r="B3" s="2" t="s">
        <v>26</v>
      </c>
      <c r="C3" s="2" t="s">
        <v>27</v>
      </c>
      <c r="D3" s="3">
        <f>DATE(LEFT(C3,2), MID(C3,3,2), MID(C3,5, 2))</f>
        <v>32767</v>
      </c>
    </row>
    <row r="4" spans="1:4" x14ac:dyDescent="0.3">
      <c r="A4" s="2" t="s">
        <v>28</v>
      </c>
      <c r="B4" s="2" t="s">
        <v>29</v>
      </c>
      <c r="C4" s="2" t="s">
        <v>30</v>
      </c>
      <c r="D4" s="3">
        <f t="shared" ref="D4:D7" si="0">DATE(LEFT(C4,2), MID(C4,3,2), MID(C4,5, 2))</f>
        <v>33539</v>
      </c>
    </row>
    <row r="5" spans="1:4" x14ac:dyDescent="0.3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3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3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>
      <selection activeCell="D3" sqref="D3"/>
    </sheetView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3">
      <c r="A3" s="2" t="s">
        <v>41</v>
      </c>
      <c r="B3" s="3">
        <v>45367</v>
      </c>
      <c r="C3" s="2">
        <v>6</v>
      </c>
      <c r="D3" s="11" t="str">
        <f>MONTH(WORKDAY(B3,C3)) &amp;"/"&amp; DAY(WORKDAY(B3,C3))</f>
        <v>3/25</v>
      </c>
    </row>
    <row r="4" spans="1:4" x14ac:dyDescent="0.3">
      <c r="A4" s="2" t="s">
        <v>42</v>
      </c>
      <c r="B4" s="3">
        <v>45369</v>
      </c>
      <c r="C4" s="2">
        <v>5</v>
      </c>
      <c r="D4" s="11" t="str">
        <f t="shared" ref="D4:D7" si="0">MONTH(WORKDAY(B4,C4)) &amp;"/"&amp; DAY(WORKDAY(B4,C4))</f>
        <v>3/25</v>
      </c>
    </row>
    <row r="5" spans="1:4" x14ac:dyDescent="0.3">
      <c r="A5" s="2" t="s">
        <v>43</v>
      </c>
      <c r="B5" s="3">
        <v>45374</v>
      </c>
      <c r="C5" s="2">
        <v>7</v>
      </c>
      <c r="D5" s="11" t="str">
        <f t="shared" si="0"/>
        <v>4/2</v>
      </c>
    </row>
    <row r="6" spans="1:4" x14ac:dyDescent="0.3">
      <c r="A6" s="2" t="s">
        <v>44</v>
      </c>
      <c r="B6" s="3">
        <v>45377</v>
      </c>
      <c r="C6" s="2">
        <v>6</v>
      </c>
      <c r="D6" s="11" t="str">
        <f t="shared" si="0"/>
        <v>4/3</v>
      </c>
    </row>
    <row r="7" spans="1:4" x14ac:dyDescent="0.3">
      <c r="A7" s="2" t="s">
        <v>45</v>
      </c>
      <c r="B7" s="3">
        <v>45381</v>
      </c>
      <c r="C7" s="2">
        <v>5</v>
      </c>
      <c r="D7" s="11" t="str">
        <f t="shared" si="0"/>
        <v>4/5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sheetPr>
    <tabColor rgb="FFFFFF00"/>
  </sheetPr>
  <dimension ref="A1:F7"/>
  <sheetViews>
    <sheetView workbookViewId="0">
      <selection activeCell="G7" sqref="G7"/>
    </sheetView>
  </sheetViews>
  <sheetFormatPr defaultRowHeight="16.5" x14ac:dyDescent="0.3"/>
  <sheetData>
    <row r="1" spans="1:6" x14ac:dyDescent="0.3">
      <c r="A1" s="1" t="s">
        <v>0</v>
      </c>
    </row>
    <row r="2" spans="1:6" x14ac:dyDescent="0.3">
      <c r="A2" s="2" t="s">
        <v>46</v>
      </c>
      <c r="B2" s="2" t="s">
        <v>47</v>
      </c>
      <c r="C2" s="2" t="s">
        <v>48</v>
      </c>
      <c r="D2" s="2" t="s">
        <v>49</v>
      </c>
      <c r="E2" s="4" t="s">
        <v>50</v>
      </c>
      <c r="F2" s="4" t="s">
        <v>51</v>
      </c>
    </row>
    <row r="3" spans="1:6" x14ac:dyDescent="0.3">
      <c r="A3" s="2" t="s">
        <v>52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0.38124999999999998</v>
      </c>
      <c r="F3" s="12">
        <f>IF( RIGHT(A3,2)="천안", D3-B3+TIME(0,2,0),D3-B3)</f>
        <v>0.26874999999999999</v>
      </c>
    </row>
    <row r="4" spans="1:6" x14ac:dyDescent="0.3">
      <c r="A4" s="2" t="s">
        <v>53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12">
        <f t="shared" ref="F4:F7" si="1">IF( RIGHT(A4,2)="천안", D4-B4+TIME(0,2,0),D4-B4)</f>
        <v>0.20555555555555555</v>
      </c>
    </row>
    <row r="5" spans="1:6" x14ac:dyDescent="0.3">
      <c r="A5" s="2" t="s">
        <v>54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12">
        <f t="shared" si="1"/>
        <v>0.29305555555555557</v>
      </c>
    </row>
    <row r="6" spans="1:6" x14ac:dyDescent="0.3">
      <c r="A6" s="2" t="s">
        <v>55</v>
      </c>
      <c r="B6" s="8">
        <v>0.39305555555555555</v>
      </c>
      <c r="C6" s="2">
        <v>5</v>
      </c>
      <c r="D6" s="8">
        <v>0.62152777777777779</v>
      </c>
      <c r="E6" s="8">
        <f t="shared" si="0"/>
        <v>0.4</v>
      </c>
      <c r="F6" s="12">
        <f t="shared" si="1"/>
        <v>0.22986111111111113</v>
      </c>
    </row>
    <row r="7" spans="1:6" x14ac:dyDescent="0.3">
      <c r="A7" s="2" t="s">
        <v>56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0.40277777777777779</v>
      </c>
      <c r="F7" s="12">
        <f t="shared" si="1"/>
        <v>0.25625000000000003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601D-5AB0-459A-A864-6E544FDE9922}">
  <dimension ref="A1:E7"/>
  <sheetViews>
    <sheetView workbookViewId="0">
      <selection activeCell="E3" sqref="E3"/>
    </sheetView>
  </sheetViews>
  <sheetFormatPr defaultRowHeight="16.5" x14ac:dyDescent="0.3"/>
  <cols>
    <col min="5" max="5" width="17.75" bestFit="1" customWidth="1"/>
  </cols>
  <sheetData>
    <row r="1" spans="1:5" x14ac:dyDescent="0.3">
      <c r="A1" s="1" t="s">
        <v>0</v>
      </c>
      <c r="B1" s="1"/>
    </row>
    <row r="2" spans="1:5" x14ac:dyDescent="0.3">
      <c r="A2" s="2" t="s">
        <v>47</v>
      </c>
      <c r="B2" s="2" t="s">
        <v>122</v>
      </c>
      <c r="C2" s="2" t="s">
        <v>50</v>
      </c>
      <c r="D2" s="10" t="s">
        <v>57</v>
      </c>
      <c r="E2" s="4" t="s">
        <v>123</v>
      </c>
    </row>
    <row r="3" spans="1:5" x14ac:dyDescent="0.3">
      <c r="A3" s="9">
        <v>0.57733796296296302</v>
      </c>
      <c r="B3" s="9">
        <f>C3-A3</f>
        <v>5.9097222222222134E-2</v>
      </c>
      <c r="C3" s="9">
        <v>0.63643518518518516</v>
      </c>
      <c r="D3" s="7">
        <f>(HOUR(C3-A3)*60+MINUTE(C3-A3))/10*3000</f>
        <v>25500</v>
      </c>
      <c r="E3" s="7" t="str">
        <f>HOUR(SMALL(B3:B7, 1)) &amp;"시간"&amp; MINUTE(SMALL(B3:B7, 1)) &amp;"분"&amp;SECOND(SMALL(B3:B7, 1))&amp;"초"</f>
        <v>1시간12분25초</v>
      </c>
    </row>
    <row r="4" spans="1:5" x14ac:dyDescent="0.3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f t="shared" ref="D4:D7" si="1">(HOUR(C4-A4)*60+MINUTE(C4-A4))/10*3000</f>
        <v>31200</v>
      </c>
    </row>
    <row r="5" spans="1:5" x14ac:dyDescent="0.3">
      <c r="A5" s="9">
        <v>0.54188657407407403</v>
      </c>
      <c r="B5" s="9">
        <f t="shared" si="0"/>
        <v>5.0289351851851904E-2</v>
      </c>
      <c r="C5" s="9">
        <v>0.59217592592592594</v>
      </c>
      <c r="D5" s="7">
        <f t="shared" si="1"/>
        <v>21600</v>
      </c>
    </row>
    <row r="6" spans="1:5" x14ac:dyDescent="0.3">
      <c r="A6" s="9">
        <v>0.60965277777777771</v>
      </c>
      <c r="B6" s="9">
        <f t="shared" si="0"/>
        <v>6.2581018518518605E-2</v>
      </c>
      <c r="C6" s="9">
        <v>0.67223379629629632</v>
      </c>
      <c r="D6" s="7">
        <f t="shared" si="1"/>
        <v>27000</v>
      </c>
    </row>
    <row r="7" spans="1:5" x14ac:dyDescent="0.3">
      <c r="A7" s="9">
        <v>0.55731481481481482</v>
      </c>
      <c r="B7" s="9">
        <f t="shared" si="0"/>
        <v>6.033564814814818E-2</v>
      </c>
      <c r="C7" s="9">
        <v>0.617650462962963</v>
      </c>
      <c r="D7" s="7">
        <f t="shared" si="1"/>
        <v>25800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tabSelected="1" workbookViewId="0">
      <selection activeCell="D13" sqref="D13"/>
    </sheetView>
  </sheetViews>
  <sheetFormatPr defaultRowHeight="16.5" x14ac:dyDescent="0.3"/>
  <cols>
    <col min="8" max="8" width="14.125" bestFit="1" customWidth="1"/>
    <col min="9" max="9" width="11.125" bestFit="1" customWidth="1"/>
  </cols>
  <sheetData>
    <row r="1" spans="1:9" x14ac:dyDescent="0.3">
      <c r="A1" s="1" t="s">
        <v>0</v>
      </c>
      <c r="B1" s="6" t="s">
        <v>58</v>
      </c>
      <c r="F1" s="5" t="s">
        <v>59</v>
      </c>
      <c r="G1" s="6" t="s">
        <v>60</v>
      </c>
    </row>
    <row r="2" spans="1:9" x14ac:dyDescent="0.3">
      <c r="A2" s="2" t="s">
        <v>61</v>
      </c>
      <c r="B2" s="2" t="s">
        <v>47</v>
      </c>
      <c r="C2" s="2" t="s">
        <v>62</v>
      </c>
      <c r="D2" s="4" t="s">
        <v>50</v>
      </c>
      <c r="F2" s="2" t="s">
        <v>63</v>
      </c>
      <c r="G2" s="2" t="s">
        <v>22</v>
      </c>
      <c r="H2" s="2" t="s">
        <v>23</v>
      </c>
      <c r="I2" s="4" t="s">
        <v>24</v>
      </c>
    </row>
    <row r="3" spans="1:9" x14ac:dyDescent="0.3">
      <c r="A3" s="2" t="s">
        <v>64</v>
      </c>
      <c r="B3" s="8">
        <v>0.55138888888888882</v>
      </c>
      <c r="C3" s="2">
        <v>6</v>
      </c>
      <c r="D3" s="8">
        <f>B3+TIME(0,C3*6,0)</f>
        <v>0.57638888888888884</v>
      </c>
      <c r="F3" s="2" t="s">
        <v>65</v>
      </c>
      <c r="G3" s="2" t="s">
        <v>66</v>
      </c>
      <c r="H3" s="2" t="s">
        <v>67</v>
      </c>
      <c r="I3" s="3">
        <f>DATE( 20&amp;LEFT(H3,2), MID(H3,3,2), MID(H3, 5, 2) )</f>
        <v>37014</v>
      </c>
    </row>
    <row r="4" spans="1:9" x14ac:dyDescent="0.3">
      <c r="A4" s="2" t="s">
        <v>68</v>
      </c>
      <c r="B4" s="8">
        <v>0.56805555555555554</v>
      </c>
      <c r="C4" s="2">
        <v>5</v>
      </c>
      <c r="D4" s="8">
        <f t="shared" ref="D4:D9" si="0">B4+TIME(0,C4*6,0)</f>
        <v>0.58888888888888891</v>
      </c>
      <c r="F4" s="2" t="s">
        <v>69</v>
      </c>
      <c r="G4" s="2" t="s">
        <v>70</v>
      </c>
      <c r="H4" s="2" t="s">
        <v>71</v>
      </c>
      <c r="I4" s="3">
        <f t="shared" ref="I4:I9" si="1">DATE( 20&amp;LEFT(H4,2), MID(H4,3,2), MID(H4, 5, 2) )</f>
        <v>37933</v>
      </c>
    </row>
    <row r="5" spans="1:9" x14ac:dyDescent="0.3">
      <c r="A5" s="2" t="s">
        <v>72</v>
      </c>
      <c r="B5" s="8">
        <v>0.60069444444444442</v>
      </c>
      <c r="C5" s="2">
        <v>3</v>
      </c>
      <c r="D5" s="8">
        <f t="shared" si="0"/>
        <v>0.61319444444444438</v>
      </c>
      <c r="F5" s="2" t="s">
        <v>73</v>
      </c>
      <c r="G5" s="2" t="s">
        <v>70</v>
      </c>
      <c r="H5" s="2" t="s">
        <v>74</v>
      </c>
      <c r="I5" s="3">
        <f t="shared" si="1"/>
        <v>38431</v>
      </c>
    </row>
    <row r="6" spans="1:9" x14ac:dyDescent="0.3">
      <c r="A6" s="2" t="s">
        <v>75</v>
      </c>
      <c r="B6" s="8">
        <v>0.62361111111111112</v>
      </c>
      <c r="C6" s="2">
        <v>7</v>
      </c>
      <c r="D6" s="8">
        <f t="shared" si="0"/>
        <v>0.65277777777777779</v>
      </c>
      <c r="F6" s="2" t="s">
        <v>76</v>
      </c>
      <c r="G6" s="2" t="s">
        <v>70</v>
      </c>
      <c r="H6" s="2" t="s">
        <v>77</v>
      </c>
      <c r="I6" s="3">
        <f t="shared" si="1"/>
        <v>37905</v>
      </c>
    </row>
    <row r="7" spans="1:9" x14ac:dyDescent="0.3">
      <c r="A7" s="2" t="s">
        <v>78</v>
      </c>
      <c r="B7" s="8">
        <v>0.64374999999999993</v>
      </c>
      <c r="C7" s="2">
        <v>5</v>
      </c>
      <c r="D7" s="8">
        <f t="shared" si="0"/>
        <v>0.6645833333333333</v>
      </c>
      <c r="F7" s="2" t="s">
        <v>79</v>
      </c>
      <c r="G7" s="2" t="s">
        <v>66</v>
      </c>
      <c r="H7" s="2" t="s">
        <v>80</v>
      </c>
      <c r="I7" s="3">
        <f t="shared" si="1"/>
        <v>38887</v>
      </c>
    </row>
    <row r="8" spans="1:9" x14ac:dyDescent="0.3">
      <c r="A8" s="2" t="s">
        <v>81</v>
      </c>
      <c r="B8" s="8">
        <v>0.66319444444444442</v>
      </c>
      <c r="C8" s="2">
        <v>8</v>
      </c>
      <c r="D8" s="8">
        <f t="shared" si="0"/>
        <v>0.69652777777777775</v>
      </c>
      <c r="F8" s="2" t="s">
        <v>82</v>
      </c>
      <c r="G8" s="2" t="s">
        <v>66</v>
      </c>
      <c r="H8" s="2" t="s">
        <v>83</v>
      </c>
      <c r="I8" s="3">
        <f t="shared" si="1"/>
        <v>39752</v>
      </c>
    </row>
    <row r="9" spans="1:9" x14ac:dyDescent="0.3">
      <c r="A9" s="2" t="s">
        <v>84</v>
      </c>
      <c r="B9" s="8">
        <v>0.69513888888888886</v>
      </c>
      <c r="C9" s="2">
        <v>2</v>
      </c>
      <c r="D9" s="8">
        <f t="shared" si="0"/>
        <v>0.70347222222222217</v>
      </c>
      <c r="F9" s="2" t="s">
        <v>85</v>
      </c>
      <c r="G9" s="2" t="s">
        <v>70</v>
      </c>
      <c r="H9" s="2" t="s">
        <v>86</v>
      </c>
      <c r="I9" s="3">
        <f t="shared" si="1"/>
        <v>37494</v>
      </c>
    </row>
    <row r="11" spans="1:9" x14ac:dyDescent="0.3">
      <c r="A11" s="5" t="s">
        <v>87</v>
      </c>
      <c r="B11" s="6" t="s">
        <v>88</v>
      </c>
      <c r="F11" s="5" t="s">
        <v>89</v>
      </c>
      <c r="G11" s="6" t="s">
        <v>90</v>
      </c>
    </row>
    <row r="12" spans="1:9" x14ac:dyDescent="0.3">
      <c r="A12" s="2" t="s">
        <v>91</v>
      </c>
      <c r="B12" s="2" t="s">
        <v>92</v>
      </c>
      <c r="C12" s="2" t="s">
        <v>49</v>
      </c>
      <c r="D12" s="4" t="s">
        <v>93</v>
      </c>
      <c r="F12" s="2" t="s">
        <v>94</v>
      </c>
      <c r="G12" s="2" t="s">
        <v>95</v>
      </c>
      <c r="H12" s="2" t="s">
        <v>96</v>
      </c>
      <c r="I12" s="4" t="s">
        <v>97</v>
      </c>
    </row>
    <row r="13" spans="1:9" x14ac:dyDescent="0.3">
      <c r="A13" s="2" t="s">
        <v>98</v>
      </c>
      <c r="B13" s="8">
        <v>0.55555555555555558</v>
      </c>
      <c r="C13" s="8">
        <v>0.64583333333333337</v>
      </c>
      <c r="D13" s="7">
        <f>( (HOUR(C13)-HOUR(B13)*1)*60+MINUTE(C13)-MINUTE(B13) ) / 10 * 300</f>
        <v>3900</v>
      </c>
      <c r="F13" s="2" t="s">
        <v>99</v>
      </c>
      <c r="G13" s="2">
        <v>2</v>
      </c>
      <c r="H13" s="3">
        <v>45448</v>
      </c>
      <c r="I13" s="11">
        <f>WORKDAY(H13,G13)</f>
        <v>45450</v>
      </c>
    </row>
    <row r="14" spans="1:9" x14ac:dyDescent="0.3">
      <c r="A14" s="2" t="s">
        <v>100</v>
      </c>
      <c r="B14" s="8">
        <v>0.55902777777777779</v>
      </c>
      <c r="C14" s="8">
        <v>0.66666666666666663</v>
      </c>
      <c r="D14" s="7">
        <f t="shared" ref="D14:D20" si="2">( (HOUR(C14)-HOUR(B14)*1)*60+MINUTE(C14)-MINUTE(B14) ) / 10 * 300</f>
        <v>4650</v>
      </c>
      <c r="F14" s="2" t="s">
        <v>101</v>
      </c>
      <c r="G14" s="2">
        <v>3</v>
      </c>
      <c r="H14" s="3">
        <v>45448</v>
      </c>
      <c r="I14" s="11">
        <f t="shared" ref="I14:I20" si="3">WORKDAY(H14,G14)</f>
        <v>45453</v>
      </c>
    </row>
    <row r="15" spans="1:9" x14ac:dyDescent="0.3">
      <c r="A15" s="2" t="s">
        <v>102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103</v>
      </c>
      <c r="G15" s="2">
        <v>2</v>
      </c>
      <c r="H15" s="3">
        <v>45454</v>
      </c>
      <c r="I15" s="11">
        <f t="shared" si="3"/>
        <v>45456</v>
      </c>
    </row>
    <row r="16" spans="1:9" x14ac:dyDescent="0.3">
      <c r="A16" s="2" t="s">
        <v>104</v>
      </c>
      <c r="B16" s="8">
        <v>0.58333333333333337</v>
      </c>
      <c r="C16" s="8">
        <v>0.65625</v>
      </c>
      <c r="D16" s="7">
        <f t="shared" si="2"/>
        <v>3150</v>
      </c>
      <c r="F16" s="2" t="s">
        <v>105</v>
      </c>
      <c r="G16" s="2">
        <v>2</v>
      </c>
      <c r="H16" s="3">
        <v>45454</v>
      </c>
      <c r="I16" s="11">
        <f t="shared" si="3"/>
        <v>45456</v>
      </c>
    </row>
    <row r="17" spans="1:9" x14ac:dyDescent="0.3">
      <c r="A17" s="2" t="s">
        <v>106</v>
      </c>
      <c r="B17" s="8">
        <v>0.59375</v>
      </c>
      <c r="C17" s="8">
        <v>0.6875</v>
      </c>
      <c r="D17" s="7">
        <f t="shared" si="2"/>
        <v>4050</v>
      </c>
      <c r="F17" s="2" t="s">
        <v>107</v>
      </c>
      <c r="G17" s="2">
        <v>3</v>
      </c>
      <c r="H17" s="3">
        <v>45454</v>
      </c>
      <c r="I17" s="11">
        <f t="shared" si="3"/>
        <v>45457</v>
      </c>
    </row>
    <row r="18" spans="1:9" x14ac:dyDescent="0.3">
      <c r="A18" s="2" t="s">
        <v>108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109</v>
      </c>
      <c r="G18" s="2">
        <v>4</v>
      </c>
      <c r="H18" s="3">
        <v>45465</v>
      </c>
      <c r="I18" s="11">
        <f t="shared" si="3"/>
        <v>45470</v>
      </c>
    </row>
    <row r="19" spans="1:9" x14ac:dyDescent="0.3">
      <c r="A19" s="2" t="s">
        <v>110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111</v>
      </c>
      <c r="G19" s="2">
        <v>2</v>
      </c>
      <c r="H19" s="3">
        <v>45465</v>
      </c>
      <c r="I19" s="11">
        <f t="shared" si="3"/>
        <v>45468</v>
      </c>
    </row>
    <row r="20" spans="1:9" x14ac:dyDescent="0.3">
      <c r="A20" s="2" t="s">
        <v>112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113</v>
      </c>
      <c r="G20" s="2">
        <v>3</v>
      </c>
      <c r="H20" s="3">
        <v>45468</v>
      </c>
      <c r="I20" s="11">
        <f t="shared" si="3"/>
        <v>45471</v>
      </c>
    </row>
    <row r="22" spans="1:9" x14ac:dyDescent="0.3">
      <c r="A22" s="5" t="s">
        <v>114</v>
      </c>
      <c r="B22" s="6" t="s">
        <v>115</v>
      </c>
    </row>
    <row r="23" spans="1:9" x14ac:dyDescent="0.3">
      <c r="A23" s="2" t="s">
        <v>46</v>
      </c>
      <c r="B23" s="2" t="s">
        <v>47</v>
      </c>
      <c r="C23" s="2" t="s">
        <v>50</v>
      </c>
      <c r="D23" s="4" t="s">
        <v>51</v>
      </c>
    </row>
    <row r="24" spans="1:9" x14ac:dyDescent="0.3">
      <c r="A24" s="2" t="s">
        <v>116</v>
      </c>
      <c r="B24" s="8">
        <v>0.3888888888888889</v>
      </c>
      <c r="C24" s="8">
        <v>0.55208333333333337</v>
      </c>
      <c r="D24" s="8">
        <f>IF(LEFT(A24,2)="공항", C24-B24+TIME(0,2,0), C24-B24)</f>
        <v>0.16458333333333336</v>
      </c>
    </row>
    <row r="25" spans="1:9" x14ac:dyDescent="0.3">
      <c r="A25" s="2" t="s">
        <v>117</v>
      </c>
      <c r="B25" s="8">
        <v>0.39930555555555558</v>
      </c>
      <c r="C25" s="8">
        <v>0.49652777777777773</v>
      </c>
      <c r="D25" s="8">
        <f>IF(LEFT(A25,2)="공항", C25-B25+TIME(0,2,0), C25-B25)</f>
        <v>9.7222222222222154E-2</v>
      </c>
    </row>
    <row r="26" spans="1:9" x14ac:dyDescent="0.3">
      <c r="A26" s="2" t="s">
        <v>118</v>
      </c>
      <c r="B26" s="8">
        <v>0.42708333333333331</v>
      </c>
      <c r="C26" s="8">
        <v>0.65972222222222221</v>
      </c>
      <c r="D26" s="8">
        <f>IF(LEFT(A26,2)="공항", C26-B26+TIME(0,2,0), C26-B26)</f>
        <v>0.2326388888888889</v>
      </c>
    </row>
    <row r="27" spans="1:9" x14ac:dyDescent="0.3">
      <c r="A27" s="2" t="s">
        <v>119</v>
      </c>
      <c r="B27" s="8">
        <v>0.46180555555555558</v>
      </c>
      <c r="C27" s="8">
        <v>0.60069444444444442</v>
      </c>
      <c r="D27" s="8">
        <f>IF(LEFT(A27,2)="공항", C27-B27+TIME(0,2,0), C27-B27)</f>
        <v>0.14027777777777772</v>
      </c>
    </row>
    <row r="28" spans="1:9" x14ac:dyDescent="0.3">
      <c r="A28" s="2" t="s">
        <v>120</v>
      </c>
      <c r="B28" s="8">
        <v>0.5</v>
      </c>
      <c r="C28" s="8">
        <v>0.69097222222222221</v>
      </c>
      <c r="D28" s="8">
        <f t="shared" ref="D28:D30" si="4">IF(LEFT(A28,2)="공항", C28-B28+TIME(0,2,0), C28-B28)</f>
        <v>0.19097222222222221</v>
      </c>
    </row>
    <row r="29" spans="1:9" x14ac:dyDescent="0.3">
      <c r="A29" s="2" t="s">
        <v>121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3">
      <c r="A30" s="2" t="s">
        <v>117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2025-12-05T02:20:06Z</dcterms:modified>
</cp:coreProperties>
</file>