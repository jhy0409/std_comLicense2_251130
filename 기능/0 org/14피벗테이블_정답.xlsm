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D6ADFD1E-F5D5-4611-92BD-9D8796EB6354}" xr6:coauthVersionLast="47" xr6:coauthVersionMax="47" xr10:uidLastSave="{00000000-0000-0000-0000-000000000000}"/>
  <bookViews>
    <workbookView xWindow="2540" yWindow="2540" windowWidth="24800" windowHeight="18440" tabRatio="926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3" r:id="rId8"/>
    <sheet name="대표기출문제_기출1" sheetId="14" r:id="rId9"/>
    <sheet name="기출2" sheetId="15" r:id="rId10"/>
    <sheet name="기출3" sheetId="16" r:id="rId11"/>
  </sheets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5" l="1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<sst xmlns="http://schemas.openxmlformats.org/spreadsheetml/2006/main" count="491" uniqueCount="93">
  <si>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</si>
  <si>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</si>
  <si>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</si>
  <si>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</si>
  <si>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</si>
  <si>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</si>
  <si>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</si>
  <si>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</si>
  <si>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</si>
  <si>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</si>
  <si>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</si>
  <si>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</si>
  <si>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</si>
  <si>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</si>
  <si>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</si>
  <si>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</si>
  <si>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</si>
  <si>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</si>
  <si>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</si>
  <si>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</si>
  <si>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</si>
  <si>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</si>
  <si>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</si>
  <si>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</si>
  <si>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</si>
  <si>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</si>
  <si>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</si>
  <si>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</si>
  <si>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</si>
  <si>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</si>
  <si>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</si>
  <si>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</si>
  <si>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</si>
  <si>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</si>
  <si>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</si>
  <si>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</si>
  <si>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</si>
  <si>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</si>
  <si>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</si>
  <si>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</si>
  <si>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</si>
  <si>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</si>
  <si>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</si>
  <si>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</si>
  <si>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</si>
  <si>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</si>
  <si>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</si>
  <si>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</si>
  <si>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</si>
  <si>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</si>
  <si>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</si>
  <si>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</si>
  <si>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</si>
  <si>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</si>
  <si>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</si>
  <si>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</si>
  <si>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</si>
  <si>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</si>
  <si>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</si>
  <si>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</si>
  <si>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</si>
  <si>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</si>
  <si>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</si>
  <si>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</si>
  <si>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</si>
  <si>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</si>
  <si>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</si>
  <si>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</si>
  <si>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</si>
  <si>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</si>
  <si>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</si>
  <si>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</si>
  <si>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</si>
  <si>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</si>
  <si>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</si>
  <si>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</si>
  <si>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</si>
  <si>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</si>
  <si>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</si>
  <si>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</si>
  <si>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</si>
  <si>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</si>
  <si>
    <t>평균 : 음반</t>
  </si>
  <si>
    <t>평균 : 음원</t>
  </si>
  <si>
    <t>4월</t>
  </si>
  <si>
    <t>5월</t>
  </si>
  <si>
    <t>합계 : 출고총액</t>
  </si>
  <si>
    <t>(다중 항목)</t>
  </si>
  <si>
    <t>값</t>
  </si>
  <si>
    <t>평균 : 목표량</t>
  </si>
  <si>
    <t>전체 평균 : 목표량</t>
  </si>
  <si>
    <t>평균 : 생산량</t>
  </si>
  <si>
    <t>전체 평균 : 생산량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</si>
</sst>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240.70013553241" createdVersion="7" refreshedVersion="7" minRefreshableVersion="3" recordCount="9" xr:uid="{975CF6A7-34D9-4287-97C8-B7B193466FFC}">
  <cacheSource type="worksheet">
    <worksheetSource ref="A3:E12" sheet="대표기출문제_기출1"/>
  </cacheSource>
  <cacheFields count="5">
    <cacheField name="장르" numFmtId="0">
      <sharedItems count="3">
        <s v="댄스"/>
        <s v="발라드"/>
        <s v="트로트"/>
      </sharedItems>
    </cacheField>
    <cacheField name="곡명" numFmtId="0">
      <sharedItems count="9">
        <s v="아무노래"/>
        <s v="시작"/>
        <s v="워너비"/>
        <s v="그때그아인"/>
        <s v="문득"/>
        <s v="안녕"/>
        <s v="막걸리한잔"/>
        <s v="보라빛엽서"/>
        <s v="고맙소"/>
      </sharedItems>
    </cacheField>
    <cacheField name="가수" numFmtId="0">
      <sharedItems count="9">
        <s v="지코"/>
        <s v="가호"/>
        <s v="ITZY"/>
        <s v="김필"/>
        <s v="노을"/>
        <s v="폴킴"/>
        <s v="영탁"/>
        <s v="임영웅"/>
        <s v="김호중"/>
      </sharedItems>
    </cacheField>
    <cacheField name="음반" numFmtId="41">
      <sharedItems containsSemiMixedTypes="0" containsString="0" containsNumber="1" containsInteger="1" minValue="1995" maxValue="6822"/>
    </cacheField>
    <cacheField name="음원" numFmtId="41">
      <sharedItems containsSemiMixedTypes="0" containsString="0" containsNumber="1" containsInteger="1" minValue="37905" maxValue="1296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856481481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937037035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987037037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020370367" createdVersion="7" refreshedVersion="7" minRefreshableVersion="3" recordCount="7" xr:uid="{41E1B6A7-381E-47D9-A1A1-5656EBCBBEBF}">
  <cacheSource type="worksheet">
    <worksheetSource ref="A3:G10" sheet="04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052430558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106018517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139814816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171296298" createdVersion="7" refreshedVersion="7" minRefreshableVersion="3" recordCount="7" xr:uid="{AC8F2D11-577B-4D23-B1D0-CAFB38E5D448}">
  <cacheSource type="worksheet">
    <worksheetSource ref="A3:G10" sheet="08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210648148" createdVersion="7" refreshedVersion="7" minRefreshableVersion="3" recordCount="12" xr:uid="{59F7C48F-0072-4E3A-AA07-D6096AD32336}">
  <cacheSource type="worksheet">
    <worksheetSource ref="A3:F15" sheet="기출2"/>
  </cacheSource>
  <cacheFields count="6">
    <cacheField name="출고일자" numFmtId="177">
      <sharedItems containsSemiMixedTypes="0" containsNonDate="0" containsDate="1" containsString="0" minDate="2024-03-02T00:00:00" maxDate="2024-05-08T00:00:00" count="9">
        <d v="2024-03-02T00:00:00"/>
        <d v="2024-03-04T00:00:00"/>
        <d v="2024-03-06T00:00:00"/>
        <d v="2024-04-01T00:00:00"/>
        <d v="2024-04-03T00:00:00"/>
        <d v="2024-04-06T00:00:00"/>
        <d v="2024-05-04T00:00:00"/>
        <d v="2024-05-06T00:00:00"/>
        <d v="2024-05-07T00:00:00"/>
      </sharedItems>
      <fieldGroup base="0">
        <rangePr groupBy="months" startDate="2024-03-02T00:00:00" endDate="2024-05-08T00:00:00"/>
        <groupItems count="14">
          <s v="&lt;2024-03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5-08"/>
        </groupItems>
      </fieldGroup>
    </cacheField>
    <cacheField name="제품명" numFmtId="0">
      <sharedItems count="4">
        <s v="신라면"/>
        <s v="짜짜로니"/>
        <s v="진짬뽕"/>
        <s v="삼양라면"/>
      </sharedItems>
    </cacheField>
    <cacheField name="지점" numFmtId="0">
      <sharedItems count="4">
        <s v="구로점"/>
        <s v="양천점"/>
        <s v="용산점"/>
        <s v="종로점"/>
      </sharedItems>
    </cacheField>
    <cacheField name="단가" numFmtId="41">
      <sharedItems containsSemiMixedTypes="0" containsString="0" containsNumber="1" containsInteger="1" minValue="510" maxValue="860"/>
    </cacheField>
    <cacheField name="출고량" numFmtId="41">
      <sharedItems containsSemiMixedTypes="0" containsString="0" containsNumber="1" containsInteger="1" minValue="1800" maxValue="2350"/>
    </cacheField>
    <cacheField name="출고총액" numFmtId="41">
      <sharedItems containsSemiMixedTypes="0" containsString="0" containsNumber="1" containsInteger="1" minValue="918000" maxValue="18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8248611111" createdVersion="7" refreshedVersion="7" minRefreshableVersion="3" recordCount="12" xr:uid="{69ABEC41-CE36-4D46-A961-38AB1C122524}">
  <cacheSource type="worksheet">
    <worksheetSource ref="A3:F15" sheet="기출3"/>
  </cacheSource>
  <cacheFields count="6">
    <cacheField name="생산일자" numFmtId="177">
      <sharedItems containsSemiMixedTypes="0" containsNonDate="0" containsDate="1" containsString="0" minDate="2022-04-06T00:00:00" maxDate="2024-04-15T00:00:00" count="8">
        <d v="2024-04-06T00:00:00"/>
        <d v="2024-04-08T00:00:00"/>
        <d v="2024-04-10T00:00:00"/>
        <d v="2024-04-14T00:00:00"/>
        <d v="2022-04-14T00:00:00" u="1"/>
        <d v="2022-04-10T00:00:00" u="1"/>
        <d v="2022-04-06T00:00:00" u="1"/>
        <d v="2022-04-08T00:00:00" u="1"/>
      </sharedItems>
    </cacheField>
    <cacheField name="부서명" numFmtId="0">
      <sharedItems count="4">
        <s v="생산2부"/>
        <s v="생산1부"/>
        <s v="생산3부"/>
        <s v="생산4부"/>
      </sharedItems>
    </cacheField>
    <cacheField name="제품명" numFmtId="0">
      <sharedItems count="3">
        <s v="키보드"/>
        <s v="마우스"/>
        <s v="헤드폰"/>
      </sharedItems>
    </cacheField>
    <cacheField name="생산단가" numFmtId="41">
      <sharedItems containsSemiMixedTypes="0" containsString="0" containsNumber="1" containsInteger="1" minValue="4550" maxValue="7500"/>
    </cacheField>
    <cacheField name="목표량" numFmtId="41">
      <sharedItems containsSemiMixedTypes="0" containsString="0" containsNumber="1" containsInteger="1" minValue="1200" maxValue="1600"/>
    </cacheField>
    <cacheField name="생산량" numFmtId="41">
      <sharedItems containsSemiMixedTypes="0" containsString="0" containsNumber="1" containsInteger="1" minValue="1200" maxValue="1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6822"/>
    <n v="129618"/>
  </r>
  <r>
    <x v="0"/>
    <x v="1"/>
    <x v="1"/>
    <n v="3584"/>
    <n v="68096"/>
  </r>
  <r>
    <x v="0"/>
    <x v="2"/>
    <x v="2"/>
    <n v="5134"/>
    <n v="97546"/>
  </r>
  <r>
    <x v="1"/>
    <x v="3"/>
    <x v="3"/>
    <n v="2945"/>
    <n v="55955"/>
  </r>
  <r>
    <x v="1"/>
    <x v="4"/>
    <x v="4"/>
    <n v="2947"/>
    <n v="55993"/>
  </r>
  <r>
    <x v="1"/>
    <x v="5"/>
    <x v="5"/>
    <n v="4325"/>
    <n v="82175"/>
  </r>
  <r>
    <x v="2"/>
    <x v="6"/>
    <x v="6"/>
    <n v="1995"/>
    <n v="37905"/>
  </r>
  <r>
    <x v="2"/>
    <x v="7"/>
    <x v="7"/>
    <n v="2011"/>
    <n v="38209"/>
  </r>
  <r>
    <x v="2"/>
    <x v="8"/>
    <x v="8"/>
    <n v="2226"/>
    <n v="4229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510"/>
    <n v="1800"/>
    <n v="918000"/>
  </r>
  <r>
    <x v="1"/>
    <x v="1"/>
    <x v="1"/>
    <n v="670"/>
    <n v="2000"/>
    <n v="1340000"/>
  </r>
  <r>
    <x v="1"/>
    <x v="2"/>
    <x v="2"/>
    <n v="860"/>
    <n v="1850"/>
    <n v="1591000"/>
  </r>
  <r>
    <x v="2"/>
    <x v="3"/>
    <x v="3"/>
    <n v="540"/>
    <n v="2100"/>
    <n v="1134000"/>
  </r>
  <r>
    <x v="3"/>
    <x v="0"/>
    <x v="1"/>
    <n v="510"/>
    <n v="2000"/>
    <n v="1020000"/>
  </r>
  <r>
    <x v="3"/>
    <x v="1"/>
    <x v="3"/>
    <n v="670"/>
    <n v="1850"/>
    <n v="1239500"/>
  </r>
  <r>
    <x v="4"/>
    <x v="2"/>
    <x v="0"/>
    <n v="860"/>
    <n v="2200"/>
    <n v="1892000"/>
  </r>
  <r>
    <x v="5"/>
    <x v="3"/>
    <x v="2"/>
    <n v="540"/>
    <n v="2050"/>
    <n v="1107000"/>
  </r>
  <r>
    <x v="6"/>
    <x v="0"/>
    <x v="3"/>
    <n v="510"/>
    <n v="2350"/>
    <n v="1198500"/>
  </r>
  <r>
    <x v="7"/>
    <x v="1"/>
    <x v="2"/>
    <n v="670"/>
    <n v="2100"/>
    <n v="1407000"/>
  </r>
  <r>
    <x v="8"/>
    <x v="2"/>
    <x v="1"/>
    <n v="860"/>
    <n v="1800"/>
    <n v="1548000"/>
  </r>
  <r>
    <x v="8"/>
    <x v="3"/>
    <x v="0"/>
    <n v="540"/>
    <n v="1950"/>
    <n v="105300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6200"/>
    <n v="1500"/>
    <n v="1550"/>
  </r>
  <r>
    <x v="0"/>
    <x v="1"/>
    <x v="1"/>
    <n v="4600"/>
    <n v="1250"/>
    <n v="1200"/>
  </r>
  <r>
    <x v="0"/>
    <x v="2"/>
    <x v="2"/>
    <n v="6800"/>
    <n v="1350"/>
    <n v="1450"/>
  </r>
  <r>
    <x v="1"/>
    <x v="0"/>
    <x v="0"/>
    <n v="5900"/>
    <n v="1550"/>
    <n v="1800"/>
  </r>
  <r>
    <x v="1"/>
    <x v="3"/>
    <x v="1"/>
    <n v="4550"/>
    <n v="1200"/>
    <n v="1380"/>
  </r>
  <r>
    <x v="1"/>
    <x v="1"/>
    <x v="2"/>
    <n v="7000"/>
    <n v="1400"/>
    <n v="1290"/>
  </r>
  <r>
    <x v="2"/>
    <x v="2"/>
    <x v="0"/>
    <n v="6000"/>
    <n v="1500"/>
    <n v="1430"/>
  </r>
  <r>
    <x v="2"/>
    <x v="0"/>
    <x v="1"/>
    <n v="4700"/>
    <n v="1300"/>
    <n v="1380"/>
  </r>
  <r>
    <x v="2"/>
    <x v="1"/>
    <x v="2"/>
    <n v="6950"/>
    <n v="1250"/>
    <n v="1230"/>
  </r>
  <r>
    <x v="3"/>
    <x v="3"/>
    <x v="0"/>
    <n v="5800"/>
    <n v="1600"/>
    <n v="1500"/>
  </r>
  <r>
    <x v="3"/>
    <x v="0"/>
    <x v="1"/>
    <n v="4750"/>
    <n v="1400"/>
    <n v="1620"/>
  </r>
  <r>
    <x v="3"/>
    <x v="2"/>
    <x v="2"/>
    <n v="7500"/>
    <n v="1250"/>
    <n v="13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3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5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6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8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A893AC-9C01-4EF6-B1CF-D8B723F54E7E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30" firstHeaderRow="1" firstDataRow="3" firstDataCol="1" rowPageCount="1" colPageCount="1"/>
  <pivotFields count="5">
    <pivotField axis="axisCol" showAll="0">
      <items count="4">
        <item x="0"/>
        <item x="1"/>
        <item x="2"/>
        <item t="default"/>
      </items>
    </pivotField>
    <pivotField axis="axisRow" showAll="0">
      <items count="10">
        <item x="8"/>
        <item x="3"/>
        <item x="6"/>
        <item x="4"/>
        <item x="7"/>
        <item x="1"/>
        <item x="0"/>
        <item x="5"/>
        <item x="2"/>
        <item t="default"/>
      </items>
    </pivotField>
    <pivotField axis="axisPage" showAll="0">
      <items count="10">
        <item x="2"/>
        <item x="1"/>
        <item x="3"/>
        <item x="8"/>
        <item x="4"/>
        <item x="6"/>
        <item x="7"/>
        <item x="0"/>
        <item x="5"/>
        <item t="default"/>
      </items>
    </pivotField>
    <pivotField dataField="1" numFmtId="41" showAll="0"/>
    <pivotField dataField="1" numFmtId="4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2" hier="-1"/>
  </pageFields>
  <dataFields count="2">
    <dataField name="평균 : 음반" fld="3" subtotal="average" baseField="1" baseItem="0" numFmtId="176"/>
    <dataField name="평균 : 음원" fld="4" subtotal="average" baseField="1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CDAF91-F525-42EC-AE00-9E7FA88E28C0}" name="피벗 테이블1" cacheId="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1:F26" firstHeaderRow="1" firstDataRow="2" firstDataCol="1" rowPageCount="1" colPageCount="1"/>
  <pivotFields count="6">
    <pivotField axis="axisRow" numFmtId="17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  <pivotField axis="axisPage" multipleItemSelectionAllowed="1" showAll="0">
      <items count="5">
        <item x="0"/>
        <item x="1"/>
        <item h="1" x="2"/>
        <item x="3"/>
        <item t="default"/>
      </items>
    </pivotField>
    <pivotField numFmtId="41" showAll="0"/>
    <pivotField numFmtId="41" showAll="0"/>
    <pivotField dataField="1" numFmtId="41" showAll="0"/>
  </pivotFields>
  <rowFields count="1">
    <field x="0"/>
  </rowFields>
  <rowItems count="4">
    <i>
      <x v="3"/>
    </i>
    <i>
      <x v="4"/>
    </i>
    <i>
      <x v="5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합계 : 출고총액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927B3-032D-4F0F-9AB6-8BE111210423}" name="피벗 테이블1" cacheId="10" dataOnRows="1" applyNumberFormats="0" applyBorderFormats="0" applyFontFormats="0" applyPatternFormats="0" applyAlignmentFormats="0" applyWidthHeightFormats="1" dataCaption="값" missingCaption="*" updatedVersion="7" minRefreshableVersion="3" useAutoFormatting="1" itemPrintTitles="1" createdVersion="7" indent="0" compact="0" outline="1" outlineData="1" compactData="0" multipleFieldFilters="0">
  <location ref="A20:F35" firstHeaderRow="1" firstDataRow="2" firstDataCol="2" rowPageCount="1" colPageCount="1"/>
  <pivotFields count="6">
    <pivotField axis="axisPage" compact="0" numFmtId="177" showAll="0">
      <items count="9">
        <item m="1" x="6"/>
        <item m="1" x="7"/>
        <item m="1" x="5"/>
        <item m="1" x="4"/>
        <item x="0"/>
        <item x="1"/>
        <item x="2"/>
        <item x="3"/>
        <item t="default"/>
      </items>
    </pivotField>
    <pivotField axis="axisRow" compact="0" showAll="0">
      <items count="5">
        <item x="1"/>
        <item x="0"/>
        <item x="2"/>
        <item x="3"/>
        <item t="default"/>
      </items>
    </pivotField>
    <pivotField axis="axisCol" compact="0" showAll="0">
      <items count="4">
        <item x="1"/>
        <item x="0"/>
        <item x="2"/>
        <item t="default"/>
      </items>
    </pivotField>
    <pivotField compact="0" numFmtId="41" showAll="0"/>
    <pivotField dataField="1" compact="0" numFmtId="41" showAll="0"/>
    <pivotField dataField="1" compact="0" numFmtId="41" showAl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2">
    <dataField name="평균 : 목표량" fld="4" subtotal="average" baseField="0" baseItem="0"/>
    <dataField name="평균 : 생산량" fld="5" subtotal="average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tabSelected="1"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5" width="6.83203125" bestFit="1" customWidth="1"/>
    <col min="6" max="6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45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6" width="10.58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C16" s="5" t="s">
        <v>1</v>
      </c>
    </row>
    <row r="17" spans="1:7" x14ac:dyDescent="0.45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45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45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45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45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45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3" width="7.08203125" bestFit="1" customWidth="1"/>
    <col min="4" max="4" width="10.58203125" bestFit="1" customWidth="1"/>
    <col min="5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C16" s="5" t="s">
        <v>1</v>
      </c>
    </row>
    <row r="17" spans="1:6" x14ac:dyDescent="0.45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45">
      <c r="A18" t="s">
        <v>19</v>
      </c>
      <c r="C18" s="7">
        <v>30000</v>
      </c>
      <c r="D18" s="7"/>
      <c r="E18" s="7"/>
      <c r="F18" s="7"/>
    </row>
    <row r="19" spans="1:6" x14ac:dyDescent="0.45">
      <c r="A19" t="s">
        <v>20</v>
      </c>
      <c r="C19" s="7"/>
      <c r="D19" s="7">
        <v>10000</v>
      </c>
      <c r="E19" s="7"/>
      <c r="F19" s="7"/>
    </row>
    <row r="20" spans="1:6" x14ac:dyDescent="0.45">
      <c r="A20" t="s">
        <v>21</v>
      </c>
      <c r="C20" s="7"/>
      <c r="D20" s="7"/>
      <c r="E20" s="7">
        <v>8000</v>
      </c>
      <c r="F20" s="7"/>
    </row>
    <row r="21" spans="1:6" x14ac:dyDescent="0.45">
      <c r="A21" t="s">
        <v>22</v>
      </c>
      <c r="C21" s="7"/>
      <c r="D21" s="7"/>
      <c r="E21" s="7"/>
      <c r="F21" s="7">
        <v>5000</v>
      </c>
    </row>
    <row r="22" spans="1:6" x14ac:dyDescent="0.45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/>
      <c r="D18" s="7"/>
      <c r="E18" s="7"/>
    </row>
    <row r="19" spans="1:5" x14ac:dyDescent="0.45">
      <c r="A19" s="1" t="s">
        <v>20</v>
      </c>
      <c r="B19" s="7"/>
      <c r="C19" s="7">
        <v>10000</v>
      </c>
      <c r="D19" s="7"/>
      <c r="E19" s="7"/>
    </row>
    <row r="20" spans="1:5" x14ac:dyDescent="0.45">
      <c r="A20" s="1" t="s">
        <v>21</v>
      </c>
      <c r="B20" s="7"/>
      <c r="C20" s="7"/>
      <c r="D20" s="7">
        <v>8000</v>
      </c>
      <c r="E20" s="7"/>
    </row>
    <row r="21" spans="1:5" x14ac:dyDescent="0.45">
      <c r="A21" s="1" t="s">
        <v>22</v>
      </c>
      <c r="B21" s="7"/>
      <c r="C21" s="7"/>
      <c r="D21" s="7"/>
      <c r="E21" s="7">
        <v>5000</v>
      </c>
    </row>
    <row r="22" spans="1:5" x14ac:dyDescent="0.45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 t="s">
        <v>26</v>
      </c>
      <c r="D18" s="7" t="s">
        <v>26</v>
      </c>
      <c r="E18" s="7" t="s">
        <v>26</v>
      </c>
    </row>
    <row r="19" spans="1:5" x14ac:dyDescent="0.45">
      <c r="A19" s="1" t="s">
        <v>20</v>
      </c>
      <c r="B19" s="7" t="s">
        <v>26</v>
      </c>
      <c r="C19" s="7">
        <v>10000</v>
      </c>
      <c r="D19" s="7" t="s">
        <v>26</v>
      </c>
      <c r="E19" s="7" t="s">
        <v>26</v>
      </c>
    </row>
    <row r="20" spans="1:5" x14ac:dyDescent="0.45">
      <c r="A20" s="1" t="s">
        <v>21</v>
      </c>
      <c r="B20" s="7" t="s">
        <v>26</v>
      </c>
      <c r="C20" s="7" t="s">
        <v>26</v>
      </c>
      <c r="D20" s="7">
        <v>8000</v>
      </c>
      <c r="E20" s="7" t="s">
        <v>26</v>
      </c>
    </row>
    <row r="21" spans="1:5" x14ac:dyDescent="0.45">
      <c r="A21" s="1" t="s">
        <v>22</v>
      </c>
      <c r="B21" s="7" t="s">
        <v>26</v>
      </c>
      <c r="C21" s="7" t="s">
        <v>26</v>
      </c>
      <c r="D21" s="7" t="s">
        <v>26</v>
      </c>
      <c r="E21" s="7">
        <v>5000</v>
      </c>
    </row>
    <row r="22" spans="1:5" x14ac:dyDescent="0.45">
      <c r="A22" s="1" t="s">
        <v>23</v>
      </c>
      <c r="B22" s="7">
        <v>0</v>
      </c>
      <c r="C22" s="7" t="s">
        <v>26</v>
      </c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7">
        <v>30000</v>
      </c>
      <c r="C18" s="7" t="s">
        <v>26</v>
      </c>
      <c r="D18" s="7" t="s">
        <v>26</v>
      </c>
    </row>
    <row r="19" spans="1:4" x14ac:dyDescent="0.45">
      <c r="A19" s="1" t="s">
        <v>20</v>
      </c>
      <c r="B19" s="7" t="s">
        <v>26</v>
      </c>
      <c r="C19" s="7">
        <v>10000</v>
      </c>
      <c r="D19" s="7" t="s">
        <v>26</v>
      </c>
    </row>
    <row r="20" spans="1:4" x14ac:dyDescent="0.45">
      <c r="A20" s="1" t="s">
        <v>21</v>
      </c>
      <c r="B20" s="7" t="s">
        <v>26</v>
      </c>
      <c r="C20" s="7" t="s">
        <v>26</v>
      </c>
      <c r="D20" s="7">
        <v>8000</v>
      </c>
    </row>
    <row r="21" spans="1:4" x14ac:dyDescent="0.45">
      <c r="A21" s="1" t="s">
        <v>23</v>
      </c>
      <c r="B21" s="7">
        <v>0</v>
      </c>
      <c r="C21" s="7" t="s">
        <v>26</v>
      </c>
      <c r="D21" s="7">
        <v>2000</v>
      </c>
    </row>
    <row r="22" spans="1:4" x14ac:dyDescent="0.45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45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45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45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1" t="s">
        <v>0</v>
      </c>
      <c r="B1" s="11"/>
      <c r="C1" s="11"/>
      <c r="D1" s="11"/>
      <c r="E1" s="11"/>
      <c r="F1" s="11"/>
      <c r="G1" s="11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45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45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45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G30"/>
  <sheetViews>
    <sheetView workbookViewId="0">
      <selection sqref="A1:E1"/>
    </sheetView>
  </sheetViews>
  <sheetFormatPr defaultRowHeight="17" x14ac:dyDescent="0.45"/>
  <cols>
    <col min="1" max="2" width="11.4140625" bestFit="1" customWidth="1"/>
    <col min="3" max="7" width="10.58203125" bestFit="1" customWidth="1"/>
    <col min="8" max="9" width="15.1640625" bestFit="1" customWidth="1"/>
  </cols>
  <sheetData>
    <row r="1" spans="1:5" x14ac:dyDescent="0.45">
      <c r="A1" s="11" t="s">
        <v>27</v>
      </c>
      <c r="B1" s="11"/>
      <c r="C1" s="11"/>
      <c r="D1" s="11"/>
      <c r="E1" s="11"/>
    </row>
    <row r="3" spans="1:5" x14ac:dyDescent="0.45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45">
      <c r="A4" s="2" t="s">
        <v>33</v>
      </c>
      <c r="B4" s="2" t="s">
        <v>34</v>
      </c>
      <c r="C4" s="2" t="s">
        <v>35</v>
      </c>
      <c r="D4" s="4">
        <v>6822</v>
      </c>
      <c r="E4" s="4">
        <v>129618</v>
      </c>
    </row>
    <row r="5" spans="1:5" x14ac:dyDescent="0.45">
      <c r="A5" s="2" t="s">
        <v>33</v>
      </c>
      <c r="B5" s="2" t="s">
        <v>36</v>
      </c>
      <c r="C5" s="2" t="s">
        <v>37</v>
      </c>
      <c r="D5" s="4">
        <v>3584</v>
      </c>
      <c r="E5" s="4">
        <v>68096</v>
      </c>
    </row>
    <row r="6" spans="1:5" x14ac:dyDescent="0.45">
      <c r="A6" s="2" t="s">
        <v>33</v>
      </c>
      <c r="B6" s="2" t="s">
        <v>38</v>
      </c>
      <c r="C6" s="2" t="s">
        <v>39</v>
      </c>
      <c r="D6" s="4">
        <v>5134</v>
      </c>
      <c r="E6" s="4">
        <v>97546</v>
      </c>
    </row>
    <row r="7" spans="1:5" x14ac:dyDescent="0.45">
      <c r="A7" s="2" t="s">
        <v>40</v>
      </c>
      <c r="B7" s="2" t="s">
        <v>41</v>
      </c>
      <c r="C7" s="2" t="s">
        <v>42</v>
      </c>
      <c r="D7" s="4">
        <v>2945</v>
      </c>
      <c r="E7" s="4">
        <v>55955</v>
      </c>
    </row>
    <row r="8" spans="1:5" x14ac:dyDescent="0.45">
      <c r="A8" s="2" t="s">
        <v>40</v>
      </c>
      <c r="B8" s="2" t="s">
        <v>43</v>
      </c>
      <c r="C8" s="2" t="s">
        <v>44</v>
      </c>
      <c r="D8" s="4">
        <v>2947</v>
      </c>
      <c r="E8" s="4">
        <v>55993</v>
      </c>
    </row>
    <row r="9" spans="1:5" x14ac:dyDescent="0.45">
      <c r="A9" s="2" t="s">
        <v>40</v>
      </c>
      <c r="B9" s="2" t="s">
        <v>45</v>
      </c>
      <c r="C9" s="2" t="s">
        <v>46</v>
      </c>
      <c r="D9" s="4">
        <v>4325</v>
      </c>
      <c r="E9" s="4">
        <v>82175</v>
      </c>
    </row>
    <row r="10" spans="1:5" x14ac:dyDescent="0.45">
      <c r="A10" s="2" t="s">
        <v>47</v>
      </c>
      <c r="B10" s="2" t="s">
        <v>48</v>
      </c>
      <c r="C10" s="2" t="s">
        <v>49</v>
      </c>
      <c r="D10" s="4">
        <v>1995</v>
      </c>
      <c r="E10" s="4">
        <v>37905</v>
      </c>
    </row>
    <row r="11" spans="1:5" x14ac:dyDescent="0.45">
      <c r="A11" s="2" t="s">
        <v>47</v>
      </c>
      <c r="B11" s="2" t="s">
        <v>50</v>
      </c>
      <c r="C11" s="2" t="s">
        <v>51</v>
      </c>
      <c r="D11" s="4">
        <v>2011</v>
      </c>
      <c r="E11" s="4">
        <v>38209</v>
      </c>
    </row>
    <row r="12" spans="1:5" x14ac:dyDescent="0.45">
      <c r="A12" s="2" t="s">
        <v>47</v>
      </c>
      <c r="B12" s="2" t="s">
        <v>52</v>
      </c>
      <c r="C12" s="2" t="s">
        <v>53</v>
      </c>
      <c r="D12" s="4">
        <v>2226</v>
      </c>
      <c r="E12" s="4">
        <v>42294</v>
      </c>
    </row>
    <row r="16" spans="1:5" x14ac:dyDescent="0.45">
      <c r="A16" s="5" t="s">
        <v>30</v>
      </c>
      <c r="B16" t="s">
        <v>15</v>
      </c>
    </row>
    <row r="18" spans="1:7" x14ac:dyDescent="0.45">
      <c r="B18" s="5" t="s">
        <v>16</v>
      </c>
    </row>
    <row r="19" spans="1:7" x14ac:dyDescent="0.45">
      <c r="B19" t="s">
        <v>33</v>
      </c>
      <c r="D19" t="s">
        <v>40</v>
      </c>
      <c r="F19" t="s">
        <v>47</v>
      </c>
    </row>
    <row r="20" spans="1:7" x14ac:dyDescent="0.45">
      <c r="A20" s="5" t="s">
        <v>18</v>
      </c>
      <c r="B20" t="s">
        <v>82</v>
      </c>
      <c r="C20" t="s">
        <v>83</v>
      </c>
      <c r="D20" t="s">
        <v>82</v>
      </c>
      <c r="E20" t="s">
        <v>83</v>
      </c>
      <c r="F20" t="s">
        <v>82</v>
      </c>
      <c r="G20" t="s">
        <v>83</v>
      </c>
    </row>
    <row r="21" spans="1:7" x14ac:dyDescent="0.45">
      <c r="A21" s="6" t="s">
        <v>52</v>
      </c>
      <c r="B21" s="8"/>
      <c r="C21" s="8"/>
      <c r="D21" s="8"/>
      <c r="E21" s="8"/>
      <c r="F21" s="8">
        <v>2226</v>
      </c>
      <c r="G21" s="8">
        <v>42294</v>
      </c>
    </row>
    <row r="22" spans="1:7" x14ac:dyDescent="0.45">
      <c r="A22" s="6" t="s">
        <v>41</v>
      </c>
      <c r="B22" s="8"/>
      <c r="C22" s="8"/>
      <c r="D22" s="8">
        <v>2945</v>
      </c>
      <c r="E22" s="8">
        <v>55955</v>
      </c>
      <c r="F22" s="8"/>
      <c r="G22" s="8"/>
    </row>
    <row r="23" spans="1:7" x14ac:dyDescent="0.45">
      <c r="A23" s="6" t="s">
        <v>48</v>
      </c>
      <c r="B23" s="8"/>
      <c r="C23" s="8"/>
      <c r="D23" s="8"/>
      <c r="E23" s="8"/>
      <c r="F23" s="8">
        <v>1995</v>
      </c>
      <c r="G23" s="8">
        <v>37905</v>
      </c>
    </row>
    <row r="24" spans="1:7" x14ac:dyDescent="0.45">
      <c r="A24" s="6" t="s">
        <v>43</v>
      </c>
      <c r="B24" s="8"/>
      <c r="C24" s="8"/>
      <c r="D24" s="8">
        <v>2947</v>
      </c>
      <c r="E24" s="8">
        <v>55993</v>
      </c>
      <c r="F24" s="8"/>
      <c r="G24" s="8"/>
    </row>
    <row r="25" spans="1:7" x14ac:dyDescent="0.45">
      <c r="A25" s="6" t="s">
        <v>50</v>
      </c>
      <c r="B25" s="8"/>
      <c r="C25" s="8"/>
      <c r="D25" s="8"/>
      <c r="E25" s="8"/>
      <c r="F25" s="8">
        <v>2011</v>
      </c>
      <c r="G25" s="8">
        <v>38209</v>
      </c>
    </row>
    <row r="26" spans="1:7" x14ac:dyDescent="0.45">
      <c r="A26" s="6" t="s">
        <v>36</v>
      </c>
      <c r="B26" s="8">
        <v>3584</v>
      </c>
      <c r="C26" s="8">
        <v>68096</v>
      </c>
      <c r="D26" s="8"/>
      <c r="E26" s="8"/>
      <c r="F26" s="8"/>
      <c r="G26" s="8"/>
    </row>
    <row r="27" spans="1:7" x14ac:dyDescent="0.45">
      <c r="A27" s="6" t="s">
        <v>34</v>
      </c>
      <c r="B27" s="8">
        <v>6822</v>
      </c>
      <c r="C27" s="8">
        <v>129618</v>
      </c>
      <c r="D27" s="8"/>
      <c r="E27" s="8"/>
      <c r="F27" s="8"/>
      <c r="G27" s="8"/>
    </row>
    <row r="28" spans="1:7" x14ac:dyDescent="0.45">
      <c r="A28" s="6" t="s">
        <v>45</v>
      </c>
      <c r="B28" s="8"/>
      <c r="C28" s="8"/>
      <c r="D28" s="8">
        <v>4325</v>
      </c>
      <c r="E28" s="8">
        <v>82175</v>
      </c>
      <c r="F28" s="8"/>
      <c r="G28" s="8"/>
    </row>
    <row r="29" spans="1:7" x14ac:dyDescent="0.45">
      <c r="A29" s="6" t="s">
        <v>38</v>
      </c>
      <c r="B29" s="8">
        <v>5134</v>
      </c>
      <c r="C29" s="8">
        <v>97546</v>
      </c>
      <c r="D29" s="8"/>
      <c r="E29" s="8"/>
      <c r="F29" s="8"/>
      <c r="G29" s="8"/>
    </row>
    <row r="30" spans="1:7" x14ac:dyDescent="0.45">
      <c r="A30" s="6" t="s">
        <v>17</v>
      </c>
      <c r="B30" s="8">
        <v>5180</v>
      </c>
      <c r="C30" s="8">
        <v>98420</v>
      </c>
      <c r="D30" s="8">
        <v>3405.6666666666665</v>
      </c>
      <c r="E30" s="8">
        <v>64707.666666666664</v>
      </c>
      <c r="F30" s="8">
        <v>2077.3333333333335</v>
      </c>
      <c r="G30" s="8">
        <v>39469.333333333336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26"/>
  <sheetViews>
    <sheetView workbookViewId="0">
      <selection sqref="A1:F1"/>
    </sheetView>
  </sheetViews>
  <sheetFormatPr defaultRowHeight="17" x14ac:dyDescent="0.45"/>
  <cols>
    <col min="1" max="1" width="14.5" bestFit="1" customWidth="1"/>
    <col min="2" max="2" width="12.5" bestFit="1" customWidth="1"/>
    <col min="3" max="5" width="8.9140625" bestFit="1" customWidth="1"/>
    <col min="6" max="6" width="10" bestFit="1" customWidth="1"/>
  </cols>
  <sheetData>
    <row r="1" spans="1:6" x14ac:dyDescent="0.45">
      <c r="A1" s="11" t="s">
        <v>54</v>
      </c>
      <c r="B1" s="11"/>
      <c r="C1" s="11"/>
      <c r="D1" s="11"/>
      <c r="E1" s="11"/>
      <c r="F1" s="11"/>
    </row>
    <row r="3" spans="1:6" x14ac:dyDescent="0.45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</row>
    <row r="4" spans="1:6" x14ac:dyDescent="0.45">
      <c r="A4" s="9">
        <v>45353</v>
      </c>
      <c r="B4" s="2" t="s">
        <v>61</v>
      </c>
      <c r="C4" s="2" t="s">
        <v>62</v>
      </c>
      <c r="D4" s="4">
        <v>510</v>
      </c>
      <c r="E4" s="4">
        <v>1800</v>
      </c>
      <c r="F4" s="4">
        <f>D4*E4</f>
        <v>918000</v>
      </c>
    </row>
    <row r="5" spans="1:6" x14ac:dyDescent="0.45">
      <c r="A5" s="9">
        <v>45355</v>
      </c>
      <c r="B5" s="2" t="s">
        <v>63</v>
      </c>
      <c r="C5" s="2" t="s">
        <v>64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45">
      <c r="A6" s="9">
        <v>45355</v>
      </c>
      <c r="B6" s="2" t="s">
        <v>65</v>
      </c>
      <c r="C6" s="2" t="s">
        <v>66</v>
      </c>
      <c r="D6" s="4">
        <v>860</v>
      </c>
      <c r="E6" s="4">
        <v>1850</v>
      </c>
      <c r="F6" s="4">
        <f t="shared" si="0"/>
        <v>1591000</v>
      </c>
    </row>
    <row r="7" spans="1:6" x14ac:dyDescent="0.45">
      <c r="A7" s="9">
        <v>45357</v>
      </c>
      <c r="B7" s="2" t="s">
        <v>67</v>
      </c>
      <c r="C7" s="2" t="s">
        <v>68</v>
      </c>
      <c r="D7" s="4">
        <v>540</v>
      </c>
      <c r="E7" s="4">
        <v>2100</v>
      </c>
      <c r="F7" s="4">
        <f t="shared" si="0"/>
        <v>1134000</v>
      </c>
    </row>
    <row r="8" spans="1:6" x14ac:dyDescent="0.45">
      <c r="A8" s="9">
        <v>45383</v>
      </c>
      <c r="B8" s="2" t="s">
        <v>61</v>
      </c>
      <c r="C8" s="2" t="s">
        <v>64</v>
      </c>
      <c r="D8" s="4">
        <v>510</v>
      </c>
      <c r="E8" s="4">
        <v>2000</v>
      </c>
      <c r="F8" s="4">
        <f t="shared" si="0"/>
        <v>1020000</v>
      </c>
    </row>
    <row r="9" spans="1:6" x14ac:dyDescent="0.45">
      <c r="A9" s="9">
        <v>45383</v>
      </c>
      <c r="B9" s="2" t="s">
        <v>63</v>
      </c>
      <c r="C9" s="2" t="s">
        <v>68</v>
      </c>
      <c r="D9" s="4">
        <v>670</v>
      </c>
      <c r="E9" s="4">
        <v>1850</v>
      </c>
      <c r="F9" s="4">
        <f t="shared" si="0"/>
        <v>1239500</v>
      </c>
    </row>
    <row r="10" spans="1:6" x14ac:dyDescent="0.45">
      <c r="A10" s="9">
        <v>45385</v>
      </c>
      <c r="B10" s="2" t="s">
        <v>65</v>
      </c>
      <c r="C10" s="2" t="s">
        <v>62</v>
      </c>
      <c r="D10" s="4">
        <v>860</v>
      </c>
      <c r="E10" s="4">
        <v>2200</v>
      </c>
      <c r="F10" s="4">
        <f t="shared" si="0"/>
        <v>1892000</v>
      </c>
    </row>
    <row r="11" spans="1:6" x14ac:dyDescent="0.45">
      <c r="A11" s="9">
        <v>45388</v>
      </c>
      <c r="B11" s="2" t="s">
        <v>67</v>
      </c>
      <c r="C11" s="2" t="s">
        <v>66</v>
      </c>
      <c r="D11" s="4">
        <v>540</v>
      </c>
      <c r="E11" s="4">
        <v>2050</v>
      </c>
      <c r="F11" s="4">
        <f t="shared" si="0"/>
        <v>1107000</v>
      </c>
    </row>
    <row r="12" spans="1:6" x14ac:dyDescent="0.45">
      <c r="A12" s="9">
        <v>45416</v>
      </c>
      <c r="B12" s="2" t="s">
        <v>61</v>
      </c>
      <c r="C12" s="2" t="s">
        <v>68</v>
      </c>
      <c r="D12" s="4">
        <v>510</v>
      </c>
      <c r="E12" s="4">
        <v>2350</v>
      </c>
      <c r="F12" s="4">
        <f t="shared" si="0"/>
        <v>1198500</v>
      </c>
    </row>
    <row r="13" spans="1:6" x14ac:dyDescent="0.45">
      <c r="A13" s="9">
        <v>45418</v>
      </c>
      <c r="B13" s="2" t="s">
        <v>63</v>
      </c>
      <c r="C13" s="2" t="s">
        <v>66</v>
      </c>
      <c r="D13" s="4">
        <v>670</v>
      </c>
      <c r="E13" s="4">
        <v>2100</v>
      </c>
      <c r="F13" s="4">
        <f t="shared" si="0"/>
        <v>1407000</v>
      </c>
    </row>
    <row r="14" spans="1:6" x14ac:dyDescent="0.45">
      <c r="A14" s="9">
        <v>45419</v>
      </c>
      <c r="B14" s="2" t="s">
        <v>65</v>
      </c>
      <c r="C14" s="2" t="s">
        <v>64</v>
      </c>
      <c r="D14" s="4">
        <v>860</v>
      </c>
      <c r="E14" s="4">
        <v>1800</v>
      </c>
      <c r="F14" s="4">
        <f t="shared" si="0"/>
        <v>1548000</v>
      </c>
    </row>
    <row r="15" spans="1:6" x14ac:dyDescent="0.45">
      <c r="A15" s="9">
        <v>45419</v>
      </c>
      <c r="B15" s="2" t="s">
        <v>67</v>
      </c>
      <c r="C15" s="2" t="s">
        <v>62</v>
      </c>
      <c r="D15" s="4">
        <v>540</v>
      </c>
      <c r="E15" s="4">
        <v>1950</v>
      </c>
      <c r="F15" s="4">
        <f t="shared" si="0"/>
        <v>1053000</v>
      </c>
    </row>
    <row r="19" spans="1:6" x14ac:dyDescent="0.45">
      <c r="A19" s="5" t="s">
        <v>57</v>
      </c>
      <c r="B19" t="s">
        <v>87</v>
      </c>
    </row>
    <row r="21" spans="1:6" x14ac:dyDescent="0.45">
      <c r="A21" s="5" t="s">
        <v>86</v>
      </c>
      <c r="B21" s="5" t="s">
        <v>16</v>
      </c>
    </row>
    <row r="22" spans="1:6" x14ac:dyDescent="0.45">
      <c r="A22" s="5" t="s">
        <v>18</v>
      </c>
      <c r="B22" t="s">
        <v>67</v>
      </c>
      <c r="C22" t="s">
        <v>61</v>
      </c>
      <c r="D22" t="s">
        <v>65</v>
      </c>
      <c r="E22" t="s">
        <v>63</v>
      </c>
      <c r="F22" t="s">
        <v>17</v>
      </c>
    </row>
    <row r="23" spans="1:6" x14ac:dyDescent="0.45">
      <c r="A23" s="10" t="s">
        <v>20</v>
      </c>
      <c r="B23" s="7">
        <v>1134000</v>
      </c>
      <c r="C23" s="7">
        <v>918000</v>
      </c>
      <c r="D23" s="7"/>
      <c r="E23" s="7">
        <v>1340000</v>
      </c>
      <c r="F23" s="7">
        <v>3392000</v>
      </c>
    </row>
    <row r="24" spans="1:6" x14ac:dyDescent="0.45">
      <c r="A24" s="10" t="s">
        <v>84</v>
      </c>
      <c r="B24" s="7"/>
      <c r="C24" s="7">
        <v>1020000</v>
      </c>
      <c r="D24" s="7">
        <v>1892000</v>
      </c>
      <c r="E24" s="7">
        <v>1239500</v>
      </c>
      <c r="F24" s="7">
        <v>4151500</v>
      </c>
    </row>
    <row r="25" spans="1:6" x14ac:dyDescent="0.45">
      <c r="A25" s="10" t="s">
        <v>85</v>
      </c>
      <c r="B25" s="7">
        <v>1053000</v>
      </c>
      <c r="C25" s="7">
        <v>1198500</v>
      </c>
      <c r="D25" s="7">
        <v>1548000</v>
      </c>
      <c r="E25" s="7"/>
      <c r="F25" s="7">
        <v>3799500</v>
      </c>
    </row>
    <row r="26" spans="1:6" x14ac:dyDescent="0.45">
      <c r="A26" s="10" t="s">
        <v>17</v>
      </c>
      <c r="B26" s="7">
        <v>2187000</v>
      </c>
      <c r="C26" s="7">
        <v>3136500</v>
      </c>
      <c r="D26" s="7">
        <v>3440000</v>
      </c>
      <c r="E26" s="7">
        <v>2579500</v>
      </c>
      <c r="F26" s="7">
        <v>11343000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35"/>
  <sheetViews>
    <sheetView workbookViewId="0">
      <selection sqref="A1:F1"/>
    </sheetView>
  </sheetViews>
  <sheetFormatPr defaultRowHeight="17" x14ac:dyDescent="0.45"/>
  <cols>
    <col min="1" max="1" width="17.1640625" bestFit="1" customWidth="1"/>
    <col min="2" max="2" width="12.25" bestFit="1" customWidth="1"/>
    <col min="3" max="5" width="8.9140625" bestFit="1" customWidth="1"/>
    <col min="6" max="6" width="13.5" bestFit="1" customWidth="1"/>
    <col min="7" max="7" width="12.5" bestFit="1" customWidth="1"/>
    <col min="8" max="9" width="17.1640625" bestFit="1" customWidth="1"/>
  </cols>
  <sheetData>
    <row r="1" spans="1:6" x14ac:dyDescent="0.45">
      <c r="A1" s="11" t="s">
        <v>69</v>
      </c>
      <c r="B1" s="11"/>
      <c r="C1" s="11"/>
      <c r="D1" s="11"/>
      <c r="E1" s="11"/>
      <c r="F1" s="11"/>
    </row>
    <row r="3" spans="1:6" x14ac:dyDescent="0.45">
      <c r="A3" s="2" t="s">
        <v>70</v>
      </c>
      <c r="B3" s="2" t="s">
        <v>71</v>
      </c>
      <c r="C3" s="2" t="s">
        <v>56</v>
      </c>
      <c r="D3" s="2" t="s">
        <v>72</v>
      </c>
      <c r="E3" s="2" t="s">
        <v>73</v>
      </c>
      <c r="F3" s="2" t="s">
        <v>74</v>
      </c>
    </row>
    <row r="4" spans="1:6" x14ac:dyDescent="0.45">
      <c r="A4" s="9">
        <v>45388</v>
      </c>
      <c r="B4" s="2" t="s">
        <v>75</v>
      </c>
      <c r="C4" s="2" t="s">
        <v>76</v>
      </c>
      <c r="D4" s="4">
        <v>6200</v>
      </c>
      <c r="E4" s="4">
        <v>1500</v>
      </c>
      <c r="F4" s="4">
        <v>1550</v>
      </c>
    </row>
    <row r="5" spans="1:6" x14ac:dyDescent="0.45">
      <c r="A5" s="9">
        <v>45388</v>
      </c>
      <c r="B5" s="2" t="s">
        <v>77</v>
      </c>
      <c r="C5" s="2" t="s">
        <v>78</v>
      </c>
      <c r="D5" s="4">
        <v>4600</v>
      </c>
      <c r="E5" s="4">
        <v>1250</v>
      </c>
      <c r="F5" s="4">
        <v>1200</v>
      </c>
    </row>
    <row r="6" spans="1:6" x14ac:dyDescent="0.45">
      <c r="A6" s="9">
        <v>45388</v>
      </c>
      <c r="B6" s="2" t="s">
        <v>79</v>
      </c>
      <c r="C6" s="2" t="s">
        <v>80</v>
      </c>
      <c r="D6" s="4">
        <v>6800</v>
      </c>
      <c r="E6" s="4">
        <v>1350</v>
      </c>
      <c r="F6" s="4">
        <v>1450</v>
      </c>
    </row>
    <row r="7" spans="1:6" x14ac:dyDescent="0.45">
      <c r="A7" s="9">
        <v>45390</v>
      </c>
      <c r="B7" s="2" t="s">
        <v>75</v>
      </c>
      <c r="C7" s="2" t="s">
        <v>76</v>
      </c>
      <c r="D7" s="4">
        <v>5900</v>
      </c>
      <c r="E7" s="4">
        <v>1550</v>
      </c>
      <c r="F7" s="4">
        <v>1800</v>
      </c>
    </row>
    <row r="8" spans="1:6" x14ac:dyDescent="0.45">
      <c r="A8" s="9">
        <v>45390</v>
      </c>
      <c r="B8" s="2" t="s">
        <v>81</v>
      </c>
      <c r="C8" s="2" t="s">
        <v>78</v>
      </c>
      <c r="D8" s="4">
        <v>4550</v>
      </c>
      <c r="E8" s="4">
        <v>1200</v>
      </c>
      <c r="F8" s="4">
        <v>1380</v>
      </c>
    </row>
    <row r="9" spans="1:6" x14ac:dyDescent="0.45">
      <c r="A9" s="9">
        <v>45390</v>
      </c>
      <c r="B9" s="2" t="s">
        <v>77</v>
      </c>
      <c r="C9" s="2" t="s">
        <v>80</v>
      </c>
      <c r="D9" s="4">
        <v>7000</v>
      </c>
      <c r="E9" s="4">
        <v>1400</v>
      </c>
      <c r="F9" s="4">
        <v>1290</v>
      </c>
    </row>
    <row r="10" spans="1:6" x14ac:dyDescent="0.45">
      <c r="A10" s="9">
        <v>45392</v>
      </c>
      <c r="B10" s="2" t="s">
        <v>79</v>
      </c>
      <c r="C10" s="2" t="s">
        <v>76</v>
      </c>
      <c r="D10" s="4">
        <v>6000</v>
      </c>
      <c r="E10" s="4">
        <v>1500</v>
      </c>
      <c r="F10" s="4">
        <v>1430</v>
      </c>
    </row>
    <row r="11" spans="1:6" x14ac:dyDescent="0.45">
      <c r="A11" s="9">
        <v>45392</v>
      </c>
      <c r="B11" s="2" t="s">
        <v>75</v>
      </c>
      <c r="C11" s="2" t="s">
        <v>78</v>
      </c>
      <c r="D11" s="4">
        <v>4700</v>
      </c>
      <c r="E11" s="4">
        <v>1300</v>
      </c>
      <c r="F11" s="4">
        <v>1380</v>
      </c>
    </row>
    <row r="12" spans="1:6" x14ac:dyDescent="0.45">
      <c r="A12" s="9">
        <v>45392</v>
      </c>
      <c r="B12" s="2" t="s">
        <v>77</v>
      </c>
      <c r="C12" s="2" t="s">
        <v>80</v>
      </c>
      <c r="D12" s="4">
        <v>6950</v>
      </c>
      <c r="E12" s="4">
        <v>1250</v>
      </c>
      <c r="F12" s="4">
        <v>1230</v>
      </c>
    </row>
    <row r="13" spans="1:6" x14ac:dyDescent="0.45">
      <c r="A13" s="9">
        <v>45396</v>
      </c>
      <c r="B13" s="2" t="s">
        <v>81</v>
      </c>
      <c r="C13" s="2" t="s">
        <v>76</v>
      </c>
      <c r="D13" s="4">
        <v>5800</v>
      </c>
      <c r="E13" s="4">
        <v>1600</v>
      </c>
      <c r="F13" s="4">
        <v>1500</v>
      </c>
    </row>
    <row r="14" spans="1:6" x14ac:dyDescent="0.45">
      <c r="A14" s="9">
        <v>45396</v>
      </c>
      <c r="B14" s="2" t="s">
        <v>75</v>
      </c>
      <c r="C14" s="2" t="s">
        <v>78</v>
      </c>
      <c r="D14" s="4">
        <v>4750</v>
      </c>
      <c r="E14" s="4">
        <v>1400</v>
      </c>
      <c r="F14" s="4">
        <v>1620</v>
      </c>
    </row>
    <row r="15" spans="1:6" x14ac:dyDescent="0.45">
      <c r="A15" s="9">
        <v>45396</v>
      </c>
      <c r="B15" s="2" t="s">
        <v>79</v>
      </c>
      <c r="C15" s="2" t="s">
        <v>80</v>
      </c>
      <c r="D15" s="4">
        <v>7500</v>
      </c>
      <c r="E15" s="4">
        <v>1250</v>
      </c>
      <c r="F15" s="4">
        <v>1320</v>
      </c>
    </row>
    <row r="18" spans="1:6" x14ac:dyDescent="0.45">
      <c r="A18" s="5" t="s">
        <v>70</v>
      </c>
      <c r="B18" t="s">
        <v>15</v>
      </c>
    </row>
    <row r="20" spans="1:6" x14ac:dyDescent="0.45">
      <c r="C20" s="5" t="s">
        <v>56</v>
      </c>
    </row>
    <row r="21" spans="1:6" x14ac:dyDescent="0.45">
      <c r="A21" s="5" t="s">
        <v>71</v>
      </c>
      <c r="B21" s="5" t="s">
        <v>88</v>
      </c>
      <c r="C21" t="s">
        <v>78</v>
      </c>
      <c r="D21" t="s">
        <v>76</v>
      </c>
      <c r="E21" t="s">
        <v>80</v>
      </c>
      <c r="F21" t="s">
        <v>17</v>
      </c>
    </row>
    <row r="22" spans="1:6" x14ac:dyDescent="0.45">
      <c r="A22" t="s">
        <v>77</v>
      </c>
      <c r="C22" s="7"/>
      <c r="D22" s="7"/>
      <c r="E22" s="7"/>
      <c r="F22" s="7"/>
    </row>
    <row r="23" spans="1:6" x14ac:dyDescent="0.45">
      <c r="B23" t="s">
        <v>89</v>
      </c>
      <c r="C23" s="7">
        <v>1250</v>
      </c>
      <c r="D23" s="7" t="s">
        <v>26</v>
      </c>
      <c r="E23" s="7">
        <v>1325</v>
      </c>
      <c r="F23" s="7">
        <v>1300</v>
      </c>
    </row>
    <row r="24" spans="1:6" x14ac:dyDescent="0.45">
      <c r="B24" t="s">
        <v>91</v>
      </c>
      <c r="C24" s="7">
        <v>1200</v>
      </c>
      <c r="D24" s="7" t="s">
        <v>26</v>
      </c>
      <c r="E24" s="7">
        <v>1260</v>
      </c>
      <c r="F24" s="7">
        <v>1240</v>
      </c>
    </row>
    <row r="25" spans="1:6" x14ac:dyDescent="0.45">
      <c r="A25" t="s">
        <v>75</v>
      </c>
      <c r="C25" s="7"/>
      <c r="D25" s="7"/>
      <c r="E25" s="7"/>
      <c r="F25" s="7"/>
    </row>
    <row r="26" spans="1:6" x14ac:dyDescent="0.45">
      <c r="B26" t="s">
        <v>89</v>
      </c>
      <c r="C26" s="7">
        <v>1350</v>
      </c>
      <c r="D26" s="7">
        <v>1525</v>
      </c>
      <c r="E26" s="7" t="s">
        <v>26</v>
      </c>
      <c r="F26" s="7">
        <v>1437.5</v>
      </c>
    </row>
    <row r="27" spans="1:6" x14ac:dyDescent="0.45">
      <c r="B27" t="s">
        <v>91</v>
      </c>
      <c r="C27" s="7">
        <v>1500</v>
      </c>
      <c r="D27" s="7">
        <v>1675</v>
      </c>
      <c r="E27" s="7" t="s">
        <v>26</v>
      </c>
      <c r="F27" s="7">
        <v>1587.5</v>
      </c>
    </row>
    <row r="28" spans="1:6" x14ac:dyDescent="0.45">
      <c r="A28" t="s">
        <v>79</v>
      </c>
      <c r="C28" s="7"/>
      <c r="D28" s="7"/>
      <c r="E28" s="7"/>
      <c r="F28" s="7"/>
    </row>
    <row r="29" spans="1:6" x14ac:dyDescent="0.45">
      <c r="B29" t="s">
        <v>89</v>
      </c>
      <c r="C29" s="7" t="s">
        <v>26</v>
      </c>
      <c r="D29" s="7">
        <v>1500</v>
      </c>
      <c r="E29" s="7">
        <v>1300</v>
      </c>
      <c r="F29" s="7">
        <v>1366.6666666666667</v>
      </c>
    </row>
    <row r="30" spans="1:6" x14ac:dyDescent="0.45">
      <c r="B30" t="s">
        <v>91</v>
      </c>
      <c r="C30" s="7" t="s">
        <v>26</v>
      </c>
      <c r="D30" s="7">
        <v>1430</v>
      </c>
      <c r="E30" s="7">
        <v>1385</v>
      </c>
      <c r="F30" s="7">
        <v>1400</v>
      </c>
    </row>
    <row r="31" spans="1:6" x14ac:dyDescent="0.45">
      <c r="A31" t="s">
        <v>81</v>
      </c>
      <c r="C31" s="7"/>
      <c r="D31" s="7"/>
      <c r="E31" s="7"/>
      <c r="F31" s="7"/>
    </row>
    <row r="32" spans="1:6" x14ac:dyDescent="0.45">
      <c r="B32" t="s">
        <v>89</v>
      </c>
      <c r="C32" s="7">
        <v>1200</v>
      </c>
      <c r="D32" s="7">
        <v>1600</v>
      </c>
      <c r="E32" s="7" t="s">
        <v>26</v>
      </c>
      <c r="F32" s="7">
        <v>1400</v>
      </c>
    </row>
    <row r="33" spans="1:6" x14ac:dyDescent="0.45">
      <c r="B33" t="s">
        <v>91</v>
      </c>
      <c r="C33" s="7">
        <v>1380</v>
      </c>
      <c r="D33" s="7">
        <v>1500</v>
      </c>
      <c r="E33" s="7" t="s">
        <v>26</v>
      </c>
      <c r="F33" s="7">
        <v>1440</v>
      </c>
    </row>
    <row r="34" spans="1:6" x14ac:dyDescent="0.45">
      <c r="A34" t="s">
        <v>90</v>
      </c>
      <c r="C34" s="7">
        <v>1287.5</v>
      </c>
      <c r="D34" s="7">
        <v>1537.5</v>
      </c>
      <c r="E34" s="7">
        <v>1312.5</v>
      </c>
      <c r="F34" s="7">
        <v>1379.1666666666667</v>
      </c>
    </row>
    <row r="35" spans="1:6" x14ac:dyDescent="0.45">
      <c r="A35" t="s">
        <v>92</v>
      </c>
      <c r="C35" s="7">
        <v>1395</v>
      </c>
      <c r="D35" s="7">
        <v>1570</v>
      </c>
      <c r="E35" s="7">
        <v>1322.5</v>
      </c>
      <c r="F35" s="7">
        <v>1429.1666666666667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2024-10-29T08:54:34Z</dcterms:modified>
</cp:coreProperties>
</file>