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defaultThemeVersion="166925"/>
  <mc:AlternateContent xmlns:mc="http://schemas.openxmlformats.org/markup-compatibility/2006">
    <mc:Choice Requires="x15">
      <x15ac:absPath xmlns:x15ac="http://schemas.microsoft.com/office/spreadsheetml/2010/11/ac" url="D:\01_작업총모음\01_수험서\18_2024\14_통합본_컴활\길벗컴활2급실기\기능\"/>
    </mc:Choice>
  </mc:AlternateContent>
  <xr:revisionPtr revIDLastSave="0" documentId="13_ncr:1_{084EFF7B-FBB5-4188-9F0B-D43DE6F466CF}" xr6:coauthVersionLast="47" xr6:coauthVersionMax="47" xr10:uidLastSave="{00000000-0000-0000-0000-000000000000}"/>
  <bookViews>
    <workbookView xWindow="-38510" yWindow="-110" windowWidth="38620" windowHeight="21360" tabRatio="926" xr2:uid="{1EA7D4BC-0E71-467A-81F4-8371BAA0CFDB}"/>
  </bookViews>
  <sheets>
    <sheet name="출제유형_01" sheetId="6" r:id="rId1"/>
    <sheet name="02" sheetId="8" r:id="rId2"/>
    <sheet name="대표기출문제_기출1" sheetId="1" r:id="rId3"/>
    <sheet name="기출2" sheetId="3" r:id="rId4"/>
    <sheet name="기출3" sheetId="2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5" i="2" l="1"/>
  <c r="F6" i="2"/>
  <c r="F7" i="2"/>
  <c r="G7" i="2" s="1"/>
  <c r="F8" i="2"/>
  <c r="G8" i="2" s="1"/>
  <c r="F9" i="2"/>
  <c r="F10" i="2"/>
  <c r="F11" i="2"/>
  <c r="F12" i="2"/>
  <c r="G12" i="2" s="1"/>
  <c r="F13" i="2"/>
  <c r="F14" i="2"/>
  <c r="F15" i="2"/>
  <c r="G15" i="2" s="1"/>
  <c r="F4" i="2"/>
  <c r="G4" i="2" s="1"/>
  <c r="G5" i="2"/>
  <c r="G9" i="2"/>
  <c r="G13" i="2"/>
  <c r="G14" i="2"/>
  <c r="G6" i="2"/>
  <c r="G10" i="2"/>
  <c r="G11" i="2"/>
  <c r="G5" i="1"/>
  <c r="G6" i="1"/>
  <c r="G7" i="1"/>
  <c r="G8" i="1"/>
  <c r="G9" i="1"/>
  <c r="G10" i="1"/>
  <c r="G11" i="1"/>
  <c r="G12" i="1"/>
  <c r="G13" i="1"/>
  <c r="G14" i="1"/>
  <c r="G15" i="1"/>
  <c r="G4" i="1"/>
  <c r="G12" i="8"/>
  <c r="G11" i="8"/>
  <c r="G10" i="8"/>
  <c r="G9" i="8"/>
  <c r="G8" i="8"/>
  <c r="G7" i="8"/>
  <c r="G6" i="8"/>
  <c r="G5" i="8"/>
  <c r="G4" i="8"/>
</calcChain>
</file>

<file path=xl/sharedStrings.xml><?xml version="1.0" encoding="utf-8"?>
<sst xmlns="http://schemas.openxmlformats.org/spreadsheetml/2006/main" count="148" uniqueCount="99">
  <si>
    <t>정보통신공학부 성적 일람표</t>
    <phoneticPr fontId="1" type="noConversion"/>
  </si>
  <si>
    <t>이름</t>
  </si>
  <si>
    <t>학과</t>
  </si>
  <si>
    <t>중간</t>
  </si>
  <si>
    <t>기말</t>
  </si>
  <si>
    <t>과제</t>
  </si>
  <si>
    <t>출석</t>
  </si>
  <si>
    <t>합계</t>
  </si>
  <si>
    <t>강선교</t>
  </si>
  <si>
    <t>시스템</t>
  </si>
  <si>
    <t>박인숙</t>
  </si>
  <si>
    <t>네트워크</t>
  </si>
  <si>
    <t>윤진희</t>
  </si>
  <si>
    <t>정보처리</t>
  </si>
  <si>
    <t>이종택</t>
  </si>
  <si>
    <t>권진현</t>
  </si>
  <si>
    <t>최석두</t>
  </si>
  <si>
    <t>황진이</t>
  </si>
  <si>
    <t>허나리</t>
  </si>
  <si>
    <t>김선희</t>
  </si>
  <si>
    <t>이름</t>
    <phoneticPr fontId="1" type="noConversion"/>
  </si>
  <si>
    <t>학과</t>
    <phoneticPr fontId="1" type="noConversion"/>
  </si>
  <si>
    <t>중간</t>
    <phoneticPr fontId="1" type="noConversion"/>
  </si>
  <si>
    <t>기말</t>
    <phoneticPr fontId="1" type="noConversion"/>
  </si>
  <si>
    <t>과제</t>
    <phoneticPr fontId="1" type="noConversion"/>
  </si>
  <si>
    <t>출석</t>
    <phoneticPr fontId="1" type="noConversion"/>
  </si>
  <si>
    <t>합계</t>
    <phoneticPr fontId="1" type="noConversion"/>
  </si>
  <si>
    <t>박인숙</t>
    <phoneticPr fontId="1" type="noConversion"/>
  </si>
  <si>
    <t>네트워크</t>
    <phoneticPr fontId="1" type="noConversion"/>
  </si>
  <si>
    <t>이종택</t>
    <phoneticPr fontId="1" type="noConversion"/>
  </si>
  <si>
    <t>김선희</t>
    <phoneticPr fontId="1" type="noConversion"/>
  </si>
  <si>
    <t>강선교</t>
    <phoneticPr fontId="1" type="noConversion"/>
  </si>
  <si>
    <t>시스템</t>
    <phoneticPr fontId="1" type="noConversion"/>
  </si>
  <si>
    <t>최석두</t>
    <phoneticPr fontId="1" type="noConversion"/>
  </si>
  <si>
    <t>황진이</t>
    <phoneticPr fontId="1" type="noConversion"/>
  </si>
  <si>
    <t>윤진희</t>
    <phoneticPr fontId="1" type="noConversion"/>
  </si>
  <si>
    <t>정보처리</t>
    <phoneticPr fontId="1" type="noConversion"/>
  </si>
  <si>
    <t>권진현</t>
    <phoneticPr fontId="1" type="noConversion"/>
  </si>
  <si>
    <t>허나리</t>
    <phoneticPr fontId="1" type="noConversion"/>
  </si>
  <si>
    <t>대리점별 제품 주문 현황</t>
    <phoneticPr fontId="1" type="noConversion"/>
  </si>
  <si>
    <t>대리점</t>
  </si>
  <si>
    <t>제품명</t>
  </si>
  <si>
    <t>주문수량</t>
  </si>
  <si>
    <t>할인수량</t>
  </si>
  <si>
    <t>주문금액</t>
  </si>
  <si>
    <t>할인금액</t>
  </si>
  <si>
    <t>수령예정액</t>
  </si>
  <si>
    <t>광진점</t>
  </si>
  <si>
    <t>스피커</t>
  </si>
  <si>
    <t>서대문점</t>
  </si>
  <si>
    <t>마우스</t>
  </si>
  <si>
    <t>동작점</t>
  </si>
  <si>
    <t>USB</t>
  </si>
  <si>
    <t>키보드</t>
  </si>
  <si>
    <t>1학년 성적표</t>
    <phoneticPr fontId="1" type="noConversion"/>
  </si>
  <si>
    <t>학생명</t>
  </si>
  <si>
    <t>반</t>
  </si>
  <si>
    <t>국어</t>
  </si>
  <si>
    <t>영어</t>
  </si>
  <si>
    <t>수학</t>
  </si>
  <si>
    <t>총점</t>
  </si>
  <si>
    <t>평균</t>
  </si>
  <si>
    <t>강지훈</t>
  </si>
  <si>
    <t>김은소</t>
  </si>
  <si>
    <t>남윤선</t>
  </si>
  <si>
    <t>배영현</t>
  </si>
  <si>
    <t>신다은</t>
  </si>
  <si>
    <t>안수민</t>
  </si>
  <si>
    <t>안하정</t>
  </si>
  <si>
    <t>유종연</t>
  </si>
  <si>
    <t>이채현</t>
  </si>
  <si>
    <t>조소은</t>
  </si>
  <si>
    <t>한윤오</t>
  </si>
  <si>
    <t>황주혁</t>
  </si>
  <si>
    <t>3월 급여 지급 현황</t>
    <phoneticPr fontId="1" type="noConversion"/>
  </si>
  <si>
    <t>사원명</t>
  </si>
  <si>
    <t>부서</t>
  </si>
  <si>
    <t>직위</t>
  </si>
  <si>
    <t>기본급</t>
  </si>
  <si>
    <t>수당</t>
  </si>
  <si>
    <t>세금</t>
  </si>
  <si>
    <t>실지급액</t>
  </si>
  <si>
    <t>고수현</t>
  </si>
  <si>
    <t>경리부</t>
  </si>
  <si>
    <t>대리</t>
  </si>
  <si>
    <t>김민정</t>
  </si>
  <si>
    <t>사원</t>
  </si>
  <si>
    <t>노재훈</t>
  </si>
  <si>
    <t>생산부</t>
  </si>
  <si>
    <t>배지민</t>
  </si>
  <si>
    <t>영업부</t>
  </si>
  <si>
    <t>백명기</t>
  </si>
  <si>
    <t>백진성</t>
  </si>
  <si>
    <t>신정수</t>
  </si>
  <si>
    <t>양효진</t>
  </si>
  <si>
    <t>유수빈</t>
  </si>
  <si>
    <t>윤시민</t>
  </si>
  <si>
    <t>최명우</t>
  </si>
  <si>
    <t>최헌기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</si>
</sst>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5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0" fontId="3" fillId="0" borderId="0" xfId="0" applyFont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E6AACF-E355-4D8E-B511-605B19A8AFF8}">
  <dimension ref="A1:G12"/>
  <sheetViews>
    <sheetView tabSelected="1" workbookViewId="0">
      <selection sqref="A1:G1"/>
    </sheetView>
  </sheetViews>
  <sheetFormatPr defaultRowHeight="17" x14ac:dyDescent="0.45"/>
  <sheetData>
    <row r="1" spans="1:7" x14ac:dyDescent="0.45">
      <c r="A1" s="4" t="s">
        <v>0</v>
      </c>
      <c r="B1" s="4"/>
      <c r="C1" s="4"/>
      <c r="D1" s="4"/>
      <c r="E1" s="4"/>
      <c r="F1" s="4"/>
      <c r="G1" s="4"/>
    </row>
    <row r="3" spans="1:7" x14ac:dyDescent="0.45">
      <c r="A3" s="1" t="s">
        <v>1</v>
      </c>
      <c r="B3" s="1" t="s">
        <v>2</v>
      </c>
      <c r="C3" s="1" t="s">
        <v>3</v>
      </c>
      <c r="D3" s="1" t="s">
        <v>4</v>
      </c>
      <c r="E3" s="1" t="s">
        <v>5</v>
      </c>
      <c r="F3" s="1" t="s">
        <v>6</v>
      </c>
      <c r="G3" s="1" t="s">
        <v>7</v>
      </c>
    </row>
    <row r="4" spans="1:7" x14ac:dyDescent="0.45">
      <c r="A4" s="1" t="s">
        <v>8</v>
      </c>
      <c r="B4" s="1" t="s">
        <v>9</v>
      </c>
      <c r="C4" s="1">
        <v>36</v>
      </c>
      <c r="D4" s="1">
        <v>37</v>
      </c>
      <c r="E4" s="1">
        <v>9</v>
      </c>
      <c r="F4" s="1">
        <v>10</v>
      </c>
      <c r="G4" s="1">
        <v>92</v>
      </c>
    </row>
    <row r="5" spans="1:7" x14ac:dyDescent="0.45">
      <c r="A5" s="1" t="s">
        <v>10</v>
      </c>
      <c r="B5" s="1" t="s">
        <v>11</v>
      </c>
      <c r="C5" s="1">
        <v>39</v>
      </c>
      <c r="D5" s="1">
        <v>38</v>
      </c>
      <c r="E5" s="1">
        <v>8</v>
      </c>
      <c r="F5" s="1">
        <v>10</v>
      </c>
      <c r="G5" s="1">
        <v>95</v>
      </c>
    </row>
    <row r="6" spans="1:7" x14ac:dyDescent="0.45">
      <c r="A6" s="1" t="s">
        <v>12</v>
      </c>
      <c r="B6" s="1" t="s">
        <v>13</v>
      </c>
      <c r="C6" s="1">
        <v>30</v>
      </c>
      <c r="D6" s="1">
        <v>32</v>
      </c>
      <c r="E6" s="1">
        <v>10</v>
      </c>
      <c r="F6" s="1">
        <v>10</v>
      </c>
      <c r="G6" s="1">
        <v>82</v>
      </c>
    </row>
    <row r="7" spans="1:7" x14ac:dyDescent="0.45">
      <c r="A7" s="1" t="s">
        <v>14</v>
      </c>
      <c r="B7" s="1" t="s">
        <v>11</v>
      </c>
      <c r="C7" s="1">
        <v>32</v>
      </c>
      <c r="D7" s="1">
        <v>34</v>
      </c>
      <c r="E7" s="1">
        <v>10</v>
      </c>
      <c r="F7" s="1">
        <v>8</v>
      </c>
      <c r="G7" s="1">
        <v>84</v>
      </c>
    </row>
    <row r="8" spans="1:7" x14ac:dyDescent="0.45">
      <c r="A8" s="1" t="s">
        <v>15</v>
      </c>
      <c r="B8" s="1" t="s">
        <v>13</v>
      </c>
      <c r="C8" s="1">
        <v>21</v>
      </c>
      <c r="D8" s="1">
        <v>20</v>
      </c>
      <c r="E8" s="1">
        <v>8</v>
      </c>
      <c r="F8" s="1">
        <v>7</v>
      </c>
      <c r="G8" s="1">
        <v>56</v>
      </c>
    </row>
    <row r="9" spans="1:7" x14ac:dyDescent="0.45">
      <c r="A9" s="1" t="s">
        <v>16</v>
      </c>
      <c r="B9" s="1" t="s">
        <v>9</v>
      </c>
      <c r="C9" s="1">
        <v>35</v>
      </c>
      <c r="D9" s="1">
        <v>32</v>
      </c>
      <c r="E9" s="1">
        <v>9</v>
      </c>
      <c r="F9" s="1">
        <v>9</v>
      </c>
      <c r="G9" s="1">
        <v>85</v>
      </c>
    </row>
    <row r="10" spans="1:7" x14ac:dyDescent="0.45">
      <c r="A10" s="1" t="s">
        <v>17</v>
      </c>
      <c r="B10" s="1" t="s">
        <v>9</v>
      </c>
      <c r="C10" s="1">
        <v>24</v>
      </c>
      <c r="D10" s="1">
        <v>26</v>
      </c>
      <c r="E10" s="1">
        <v>7</v>
      </c>
      <c r="F10" s="1">
        <v>10</v>
      </c>
      <c r="G10" s="1">
        <v>67</v>
      </c>
    </row>
    <row r="11" spans="1:7" x14ac:dyDescent="0.45">
      <c r="A11" s="1" t="s">
        <v>18</v>
      </c>
      <c r="B11" s="1" t="s">
        <v>13</v>
      </c>
      <c r="C11" s="1">
        <v>38</v>
      </c>
      <c r="D11" s="1">
        <v>31</v>
      </c>
      <c r="E11" s="1">
        <v>6</v>
      </c>
      <c r="F11" s="1">
        <v>9</v>
      </c>
      <c r="G11" s="1">
        <v>84</v>
      </c>
    </row>
    <row r="12" spans="1:7" x14ac:dyDescent="0.45">
      <c r="A12" s="1" t="s">
        <v>19</v>
      </c>
      <c r="B12" s="1" t="s">
        <v>11</v>
      </c>
      <c r="C12" s="1">
        <v>38</v>
      </c>
      <c r="D12" s="1">
        <v>38</v>
      </c>
      <c r="E12" s="1">
        <v>9</v>
      </c>
      <c r="F12" s="1">
        <v>10</v>
      </c>
      <c r="G12" s="1">
        <v>95</v>
      </c>
    </row>
  </sheetData>
  <mergeCells count="1">
    <mergeCell ref="A1:G1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99A614-667B-44CD-8B2D-4ABB39BFBDB8}">
  <dimension ref="A1:G12"/>
  <sheetViews>
    <sheetView workbookViewId="0">
      <selection sqref="A1:G1"/>
    </sheetView>
  </sheetViews>
  <sheetFormatPr defaultRowHeight="17" x14ac:dyDescent="0.45"/>
  <sheetData>
    <row r="1" spans="1:7" x14ac:dyDescent="0.45">
      <c r="A1" s="4" t="s">
        <v>0</v>
      </c>
      <c r="B1" s="4"/>
      <c r="C1" s="4"/>
      <c r="D1" s="4"/>
      <c r="E1" s="4"/>
      <c r="F1" s="4"/>
      <c r="G1" s="4"/>
    </row>
    <row r="3" spans="1:7" x14ac:dyDescent="0.45">
      <c r="A3" s="1" t="s">
        <v>20</v>
      </c>
      <c r="B3" s="1" t="s">
        <v>21</v>
      </c>
      <c r="C3" s="1" t="s">
        <v>22</v>
      </c>
      <c r="D3" s="1" t="s">
        <v>23</v>
      </c>
      <c r="E3" s="1" t="s">
        <v>24</v>
      </c>
      <c r="F3" s="1" t="s">
        <v>25</v>
      </c>
      <c r="G3" s="1" t="s">
        <v>26</v>
      </c>
    </row>
    <row r="4" spans="1:7" x14ac:dyDescent="0.45">
      <c r="A4" s="1" t="s">
        <v>27</v>
      </c>
      <c r="B4" s="1" t="s">
        <v>28</v>
      </c>
      <c r="C4" s="1">
        <v>39</v>
      </c>
      <c r="D4" s="1">
        <v>38</v>
      </c>
      <c r="E4" s="1">
        <v>8</v>
      </c>
      <c r="F4" s="1">
        <v>10</v>
      </c>
      <c r="G4" s="1">
        <f t="shared" ref="G4:G12" si="0">SUM(C4:F4)</f>
        <v>95</v>
      </c>
    </row>
    <row r="5" spans="1:7" x14ac:dyDescent="0.45">
      <c r="A5" s="1" t="s">
        <v>29</v>
      </c>
      <c r="B5" s="1" t="s">
        <v>28</v>
      </c>
      <c r="C5" s="1">
        <v>32</v>
      </c>
      <c r="D5" s="1">
        <v>34</v>
      </c>
      <c r="E5" s="1">
        <v>10</v>
      </c>
      <c r="F5" s="1">
        <v>8</v>
      </c>
      <c r="G5" s="1">
        <f t="shared" si="0"/>
        <v>84</v>
      </c>
    </row>
    <row r="6" spans="1:7" x14ac:dyDescent="0.45">
      <c r="A6" s="1" t="s">
        <v>30</v>
      </c>
      <c r="B6" s="1" t="s">
        <v>28</v>
      </c>
      <c r="C6" s="1">
        <v>38</v>
      </c>
      <c r="D6" s="1">
        <v>38</v>
      </c>
      <c r="E6" s="1">
        <v>9</v>
      </c>
      <c r="F6" s="1">
        <v>10</v>
      </c>
      <c r="G6" s="1">
        <f t="shared" si="0"/>
        <v>95</v>
      </c>
    </row>
    <row r="7" spans="1:7" x14ac:dyDescent="0.45">
      <c r="A7" s="1" t="s">
        <v>31</v>
      </c>
      <c r="B7" s="1" t="s">
        <v>32</v>
      </c>
      <c r="C7" s="1">
        <v>36</v>
      </c>
      <c r="D7" s="1">
        <v>37</v>
      </c>
      <c r="E7" s="1">
        <v>9</v>
      </c>
      <c r="F7" s="1">
        <v>10</v>
      </c>
      <c r="G7" s="1">
        <f t="shared" si="0"/>
        <v>92</v>
      </c>
    </row>
    <row r="8" spans="1:7" x14ac:dyDescent="0.45">
      <c r="A8" s="1" t="s">
        <v>33</v>
      </c>
      <c r="B8" s="1" t="s">
        <v>32</v>
      </c>
      <c r="C8" s="1">
        <v>35</v>
      </c>
      <c r="D8" s="1">
        <v>32</v>
      </c>
      <c r="E8" s="1">
        <v>9</v>
      </c>
      <c r="F8" s="1">
        <v>9</v>
      </c>
      <c r="G8" s="1">
        <f t="shared" si="0"/>
        <v>85</v>
      </c>
    </row>
    <row r="9" spans="1:7" x14ac:dyDescent="0.45">
      <c r="A9" s="1" t="s">
        <v>34</v>
      </c>
      <c r="B9" s="1" t="s">
        <v>32</v>
      </c>
      <c r="C9" s="1">
        <v>24</v>
      </c>
      <c r="D9" s="1">
        <v>26</v>
      </c>
      <c r="E9" s="1">
        <v>7</v>
      </c>
      <c r="F9" s="1">
        <v>10</v>
      </c>
      <c r="G9" s="1">
        <f t="shared" si="0"/>
        <v>67</v>
      </c>
    </row>
    <row r="10" spans="1:7" x14ac:dyDescent="0.45">
      <c r="A10" s="1" t="s">
        <v>35</v>
      </c>
      <c r="B10" s="1" t="s">
        <v>36</v>
      </c>
      <c r="C10" s="1">
        <v>30</v>
      </c>
      <c r="D10" s="1">
        <v>32</v>
      </c>
      <c r="E10" s="1">
        <v>10</v>
      </c>
      <c r="F10" s="1">
        <v>10</v>
      </c>
      <c r="G10" s="1">
        <f t="shared" si="0"/>
        <v>82</v>
      </c>
    </row>
    <row r="11" spans="1:7" x14ac:dyDescent="0.45">
      <c r="A11" s="1" t="s">
        <v>37</v>
      </c>
      <c r="B11" s="1" t="s">
        <v>36</v>
      </c>
      <c r="C11" s="1">
        <v>21</v>
      </c>
      <c r="D11" s="1">
        <v>20</v>
      </c>
      <c r="E11" s="1">
        <v>8</v>
      </c>
      <c r="F11" s="1">
        <v>7</v>
      </c>
      <c r="G11" s="1">
        <f t="shared" si="0"/>
        <v>56</v>
      </c>
    </row>
    <row r="12" spans="1:7" x14ac:dyDescent="0.45">
      <c r="A12" s="1" t="s">
        <v>38</v>
      </c>
      <c r="B12" s="1" t="s">
        <v>36</v>
      </c>
      <c r="C12" s="1">
        <v>38</v>
      </c>
      <c r="D12" s="1">
        <v>31</v>
      </c>
      <c r="E12" s="1">
        <v>6</v>
      </c>
      <c r="F12" s="1">
        <v>9</v>
      </c>
      <c r="G12" s="1">
        <f t="shared" si="0"/>
        <v>84</v>
      </c>
    </row>
  </sheetData>
  <sortState xmlns:xlrd2="http://schemas.microsoft.com/office/spreadsheetml/2017/richdata2" ref="A4:G12">
    <sortCondition ref="B4:B12"/>
  </sortState>
  <mergeCells count="1">
    <mergeCell ref="A1:G1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0EB07A-F193-45AB-8C6E-71B4C6D59169}">
  <sheetPr>
    <tabColor theme="7" tint="0.59999389629810485"/>
  </sheetPr>
  <dimension ref="A1:G15"/>
  <sheetViews>
    <sheetView workbookViewId="0">
      <selection sqref="A1:G1"/>
    </sheetView>
  </sheetViews>
  <sheetFormatPr defaultRowHeight="17" x14ac:dyDescent="0.45"/>
  <cols>
    <col min="5" max="7" width="10.58203125" bestFit="1" customWidth="1"/>
  </cols>
  <sheetData>
    <row r="1" spans="1:7" x14ac:dyDescent="0.45">
      <c r="A1" s="4" t="s">
        <v>39</v>
      </c>
      <c r="B1" s="4"/>
      <c r="C1" s="4"/>
      <c r="D1" s="4"/>
      <c r="E1" s="4"/>
      <c r="F1" s="4"/>
      <c r="G1" s="4"/>
    </row>
    <row r="3" spans="1:7" x14ac:dyDescent="0.45">
      <c r="A3" s="1" t="s">
        <v>40</v>
      </c>
      <c r="B3" s="1" t="s">
        <v>41</v>
      </c>
      <c r="C3" s="1" t="s">
        <v>42</v>
      </c>
      <c r="D3" s="1" t="s">
        <v>43</v>
      </c>
      <c r="E3" s="1" t="s">
        <v>44</v>
      </c>
      <c r="F3" s="1" t="s">
        <v>45</v>
      </c>
      <c r="G3" s="1" t="s">
        <v>46</v>
      </c>
    </row>
    <row r="4" spans="1:7" x14ac:dyDescent="0.45">
      <c r="A4" s="1" t="s">
        <v>47</v>
      </c>
      <c r="B4" s="1" t="s">
        <v>48</v>
      </c>
      <c r="C4" s="1">
        <v>450</v>
      </c>
      <c r="D4" s="1">
        <v>27</v>
      </c>
      <c r="E4" s="2">
        <v>5625000</v>
      </c>
      <c r="F4" s="2">
        <v>337500</v>
      </c>
      <c r="G4" s="2">
        <f>E4-F4</f>
        <v>5287500</v>
      </c>
    </row>
    <row r="5" spans="1:7" x14ac:dyDescent="0.45">
      <c r="A5" s="1" t="s">
        <v>49</v>
      </c>
      <c r="B5" s="1" t="s">
        <v>50</v>
      </c>
      <c r="C5" s="1">
        <v>750</v>
      </c>
      <c r="D5" s="1">
        <v>90</v>
      </c>
      <c r="E5" s="2">
        <v>7875000</v>
      </c>
      <c r="F5" s="2">
        <v>945000</v>
      </c>
      <c r="G5" s="2">
        <f t="shared" ref="G5:G15" si="0">E5-F5</f>
        <v>6930000</v>
      </c>
    </row>
    <row r="6" spans="1:7" x14ac:dyDescent="0.45">
      <c r="A6" s="1" t="s">
        <v>51</v>
      </c>
      <c r="B6" s="1" t="s">
        <v>52</v>
      </c>
      <c r="C6" s="1">
        <v>600</v>
      </c>
      <c r="D6" s="1">
        <v>60</v>
      </c>
      <c r="E6" s="2">
        <v>510000</v>
      </c>
      <c r="F6" s="2">
        <v>51000</v>
      </c>
      <c r="G6" s="2">
        <f t="shared" si="0"/>
        <v>459000</v>
      </c>
    </row>
    <row r="7" spans="1:7" x14ac:dyDescent="0.45">
      <c r="A7" s="1" t="s">
        <v>51</v>
      </c>
      <c r="B7" s="1" t="s">
        <v>48</v>
      </c>
      <c r="C7" s="1">
        <v>650</v>
      </c>
      <c r="D7" s="1">
        <v>76</v>
      </c>
      <c r="E7" s="2">
        <v>8125000</v>
      </c>
      <c r="F7" s="2">
        <v>950000</v>
      </c>
      <c r="G7" s="2">
        <f t="shared" si="0"/>
        <v>7175000</v>
      </c>
    </row>
    <row r="8" spans="1:7" x14ac:dyDescent="0.45">
      <c r="A8" s="1" t="s">
        <v>47</v>
      </c>
      <c r="B8" s="1" t="s">
        <v>50</v>
      </c>
      <c r="C8" s="1">
        <v>550</v>
      </c>
      <c r="D8" s="1">
        <v>44</v>
      </c>
      <c r="E8" s="2">
        <v>5775000</v>
      </c>
      <c r="F8" s="2">
        <v>462000</v>
      </c>
      <c r="G8" s="2">
        <f t="shared" si="0"/>
        <v>5313000</v>
      </c>
    </row>
    <row r="9" spans="1:7" x14ac:dyDescent="0.45">
      <c r="A9" s="1" t="s">
        <v>49</v>
      </c>
      <c r="B9" s="1" t="s">
        <v>48</v>
      </c>
      <c r="C9" s="1">
        <v>550</v>
      </c>
      <c r="D9" s="1">
        <v>44</v>
      </c>
      <c r="E9" s="2">
        <v>6875000</v>
      </c>
      <c r="F9" s="2">
        <v>550000</v>
      </c>
      <c r="G9" s="2">
        <f t="shared" si="0"/>
        <v>6325000</v>
      </c>
    </row>
    <row r="10" spans="1:7" x14ac:dyDescent="0.45">
      <c r="A10" s="1" t="s">
        <v>47</v>
      </c>
      <c r="B10" s="1" t="s">
        <v>52</v>
      </c>
      <c r="C10" s="1">
        <v>550</v>
      </c>
      <c r="D10" s="1">
        <v>44</v>
      </c>
      <c r="E10" s="2">
        <v>467500</v>
      </c>
      <c r="F10" s="2">
        <v>37400</v>
      </c>
      <c r="G10" s="2">
        <f t="shared" si="0"/>
        <v>430100</v>
      </c>
    </row>
    <row r="11" spans="1:7" x14ac:dyDescent="0.45">
      <c r="A11" s="1" t="s">
        <v>51</v>
      </c>
      <c r="B11" s="1" t="s">
        <v>50</v>
      </c>
      <c r="C11" s="1">
        <v>400</v>
      </c>
      <c r="D11" s="1">
        <v>24</v>
      </c>
      <c r="E11" s="2">
        <v>4200000</v>
      </c>
      <c r="F11" s="2">
        <v>252000</v>
      </c>
      <c r="G11" s="2">
        <f t="shared" si="0"/>
        <v>3948000</v>
      </c>
    </row>
    <row r="12" spans="1:7" x14ac:dyDescent="0.45">
      <c r="A12" s="1" t="s">
        <v>49</v>
      </c>
      <c r="B12" s="1" t="s">
        <v>52</v>
      </c>
      <c r="C12" s="1">
        <v>450</v>
      </c>
      <c r="D12" s="1">
        <v>27</v>
      </c>
      <c r="E12" s="2">
        <v>382500</v>
      </c>
      <c r="F12" s="2">
        <v>22950</v>
      </c>
      <c r="G12" s="2">
        <f t="shared" si="0"/>
        <v>359550</v>
      </c>
    </row>
    <row r="13" spans="1:7" x14ac:dyDescent="0.45">
      <c r="A13" s="1" t="s">
        <v>47</v>
      </c>
      <c r="B13" s="1" t="s">
        <v>53</v>
      </c>
      <c r="C13" s="1">
        <v>700</v>
      </c>
      <c r="D13" s="1">
        <v>84</v>
      </c>
      <c r="E13" s="2">
        <v>8400000</v>
      </c>
      <c r="F13" s="2">
        <v>1008000</v>
      </c>
      <c r="G13" s="2">
        <f t="shared" si="0"/>
        <v>7392000</v>
      </c>
    </row>
    <row r="14" spans="1:7" x14ac:dyDescent="0.45">
      <c r="A14" s="1" t="s">
        <v>51</v>
      </c>
      <c r="B14" s="1" t="s">
        <v>53</v>
      </c>
      <c r="C14" s="1">
        <v>500</v>
      </c>
      <c r="D14" s="1">
        <v>40</v>
      </c>
      <c r="E14" s="2">
        <v>6000000</v>
      </c>
      <c r="F14" s="2">
        <v>480000</v>
      </c>
      <c r="G14" s="2">
        <f t="shared" si="0"/>
        <v>5520000</v>
      </c>
    </row>
    <row r="15" spans="1:7" x14ac:dyDescent="0.45">
      <c r="A15" s="1" t="s">
        <v>49</v>
      </c>
      <c r="B15" s="1" t="s">
        <v>53</v>
      </c>
      <c r="C15" s="1">
        <v>500</v>
      </c>
      <c r="D15" s="1">
        <v>40</v>
      </c>
      <c r="E15" s="2">
        <v>6000000</v>
      </c>
      <c r="F15" s="2">
        <v>480000</v>
      </c>
      <c r="G15" s="2">
        <f t="shared" si="0"/>
        <v>5520000</v>
      </c>
    </row>
  </sheetData>
  <mergeCells count="1">
    <mergeCell ref="A1:G1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2AD3F-128E-46B5-AEB9-16EA3EF0EC74}">
  <sheetPr>
    <tabColor theme="7" tint="0.59999389629810485"/>
  </sheetPr>
  <dimension ref="A1:G15"/>
  <sheetViews>
    <sheetView workbookViewId="0">
      <selection sqref="A1:G1"/>
    </sheetView>
  </sheetViews>
  <sheetFormatPr defaultRowHeight="17" x14ac:dyDescent="0.45"/>
  <sheetData>
    <row r="1" spans="1:7" x14ac:dyDescent="0.45">
      <c r="A1" s="4" t="s">
        <v>54</v>
      </c>
      <c r="B1" s="4"/>
      <c r="C1" s="4"/>
      <c r="D1" s="4"/>
      <c r="E1" s="4"/>
      <c r="F1" s="4"/>
      <c r="G1" s="4"/>
    </row>
    <row r="3" spans="1:7" x14ac:dyDescent="0.45">
      <c r="A3" s="1" t="s">
        <v>55</v>
      </c>
      <c r="B3" s="1" t="s">
        <v>56</v>
      </c>
      <c r="C3" s="1" t="s">
        <v>57</v>
      </c>
      <c r="D3" s="1" t="s">
        <v>58</v>
      </c>
      <c r="E3" s="1" t="s">
        <v>59</v>
      </c>
      <c r="F3" s="1" t="s">
        <v>60</v>
      </c>
      <c r="G3" s="1" t="s">
        <v>61</v>
      </c>
    </row>
    <row r="4" spans="1:7" x14ac:dyDescent="0.45">
      <c r="A4" s="1" t="s">
        <v>62</v>
      </c>
      <c r="B4" s="1">
        <v>1</v>
      </c>
      <c r="C4" s="1">
        <v>97</v>
      </c>
      <c r="D4" s="1">
        <v>95</v>
      </c>
      <c r="E4" s="1">
        <v>93</v>
      </c>
      <c r="F4" s="1">
        <v>285</v>
      </c>
      <c r="G4" s="3">
        <v>95</v>
      </c>
    </row>
    <row r="5" spans="1:7" x14ac:dyDescent="0.45">
      <c r="A5" s="1" t="s">
        <v>63</v>
      </c>
      <c r="B5" s="1">
        <v>2</v>
      </c>
      <c r="C5" s="1">
        <v>86</v>
      </c>
      <c r="D5" s="1">
        <v>89</v>
      </c>
      <c r="E5" s="1">
        <v>91</v>
      </c>
      <c r="F5" s="1">
        <v>266</v>
      </c>
      <c r="G5" s="3">
        <v>88.666666666666671</v>
      </c>
    </row>
    <row r="6" spans="1:7" x14ac:dyDescent="0.45">
      <c r="A6" s="1" t="s">
        <v>64</v>
      </c>
      <c r="B6" s="1">
        <v>1</v>
      </c>
      <c r="C6" s="1">
        <v>91</v>
      </c>
      <c r="D6" s="1">
        <v>87</v>
      </c>
      <c r="E6" s="1">
        <v>92</v>
      </c>
      <c r="F6" s="1">
        <v>270</v>
      </c>
      <c r="G6" s="3">
        <v>90</v>
      </c>
    </row>
    <row r="7" spans="1:7" x14ac:dyDescent="0.45">
      <c r="A7" s="1" t="s">
        <v>65</v>
      </c>
      <c r="B7" s="1">
        <v>1</v>
      </c>
      <c r="C7" s="1">
        <v>86</v>
      </c>
      <c r="D7" s="1">
        <v>90</v>
      </c>
      <c r="E7" s="1">
        <v>93</v>
      </c>
      <c r="F7" s="1">
        <v>269</v>
      </c>
      <c r="G7" s="3">
        <v>89.666666666666671</v>
      </c>
    </row>
    <row r="8" spans="1:7" x14ac:dyDescent="0.45">
      <c r="A8" s="1" t="s">
        <v>66</v>
      </c>
      <c r="B8" s="1">
        <v>2</v>
      </c>
      <c r="C8" s="1">
        <v>76</v>
      </c>
      <c r="D8" s="1">
        <v>73</v>
      </c>
      <c r="E8" s="1">
        <v>91</v>
      </c>
      <c r="F8" s="1">
        <v>240</v>
      </c>
      <c r="G8" s="3">
        <v>80</v>
      </c>
    </row>
    <row r="9" spans="1:7" x14ac:dyDescent="0.45">
      <c r="A9" s="1" t="s">
        <v>67</v>
      </c>
      <c r="B9" s="1">
        <v>2</v>
      </c>
      <c r="C9" s="1">
        <v>64</v>
      </c>
      <c r="D9" s="1">
        <v>66</v>
      </c>
      <c r="E9" s="1">
        <v>57</v>
      </c>
      <c r="F9" s="1">
        <v>187</v>
      </c>
      <c r="G9" s="3">
        <v>62.333333333333336</v>
      </c>
    </row>
    <row r="10" spans="1:7" x14ac:dyDescent="0.45">
      <c r="A10" s="1" t="s">
        <v>68</v>
      </c>
      <c r="B10" s="1">
        <v>1</v>
      </c>
      <c r="C10" s="1">
        <v>58</v>
      </c>
      <c r="D10" s="1">
        <v>61</v>
      </c>
      <c r="E10" s="1">
        <v>55</v>
      </c>
      <c r="F10" s="1">
        <v>174</v>
      </c>
      <c r="G10" s="3">
        <v>58</v>
      </c>
    </row>
    <row r="11" spans="1:7" x14ac:dyDescent="0.45">
      <c r="A11" s="1" t="s">
        <v>69</v>
      </c>
      <c r="B11" s="1">
        <v>3</v>
      </c>
      <c r="C11" s="1">
        <v>67</v>
      </c>
      <c r="D11" s="1">
        <v>63</v>
      </c>
      <c r="E11" s="1">
        <v>72</v>
      </c>
      <c r="F11" s="1">
        <v>202</v>
      </c>
      <c r="G11" s="3">
        <v>67.333333333333329</v>
      </c>
    </row>
    <row r="12" spans="1:7" x14ac:dyDescent="0.45">
      <c r="A12" s="1" t="s">
        <v>70</v>
      </c>
      <c r="B12" s="1">
        <v>3</v>
      </c>
      <c r="C12" s="1">
        <v>86</v>
      </c>
      <c r="D12" s="1">
        <v>85</v>
      </c>
      <c r="E12" s="1">
        <v>90</v>
      </c>
      <c r="F12" s="1">
        <v>261</v>
      </c>
      <c r="G12" s="3">
        <v>87</v>
      </c>
    </row>
    <row r="13" spans="1:7" x14ac:dyDescent="0.45">
      <c r="A13" s="1" t="s">
        <v>71</v>
      </c>
      <c r="B13" s="1">
        <v>3</v>
      </c>
      <c r="C13" s="1">
        <v>79</v>
      </c>
      <c r="D13" s="1">
        <v>81</v>
      </c>
      <c r="E13" s="1">
        <v>83</v>
      </c>
      <c r="F13" s="1">
        <v>243</v>
      </c>
      <c r="G13" s="3">
        <v>81</v>
      </c>
    </row>
    <row r="14" spans="1:7" x14ac:dyDescent="0.45">
      <c r="A14" s="1" t="s">
        <v>72</v>
      </c>
      <c r="B14" s="1">
        <v>3</v>
      </c>
      <c r="C14" s="1">
        <v>82</v>
      </c>
      <c r="D14" s="1">
        <v>81</v>
      </c>
      <c r="E14" s="1">
        <v>76</v>
      </c>
      <c r="F14" s="1">
        <v>239</v>
      </c>
      <c r="G14" s="3">
        <v>79.666666666666671</v>
      </c>
    </row>
    <row r="15" spans="1:7" x14ac:dyDescent="0.45">
      <c r="A15" s="1" t="s">
        <v>73</v>
      </c>
      <c r="B15" s="1">
        <v>2</v>
      </c>
      <c r="C15" s="1">
        <v>94</v>
      </c>
      <c r="D15" s="1">
        <v>95</v>
      </c>
      <c r="E15" s="1">
        <v>97</v>
      </c>
      <c r="F15" s="1">
        <v>286</v>
      </c>
      <c r="G15" s="3">
        <v>95.333333333333329</v>
      </c>
    </row>
  </sheetData>
  <mergeCells count="1">
    <mergeCell ref="A1:G1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CC96A-C439-4D48-AE3B-B60B9F7E9BB0}">
  <sheetPr>
    <tabColor theme="7" tint="0.59999389629810485"/>
  </sheetPr>
  <dimension ref="A1:G15"/>
  <sheetViews>
    <sheetView workbookViewId="0">
      <selection sqref="A1:G1"/>
    </sheetView>
  </sheetViews>
  <sheetFormatPr defaultRowHeight="17" x14ac:dyDescent="0.45"/>
  <cols>
    <col min="4" max="5" width="10.58203125" bestFit="1" customWidth="1"/>
    <col min="6" max="6" width="9.33203125" bestFit="1" customWidth="1"/>
    <col min="7" max="7" width="10.58203125" bestFit="1" customWidth="1"/>
  </cols>
  <sheetData>
    <row r="1" spans="1:7" x14ac:dyDescent="0.45">
      <c r="A1" s="4" t="s">
        <v>74</v>
      </c>
      <c r="B1" s="4"/>
      <c r="C1" s="4"/>
      <c r="D1" s="4"/>
      <c r="E1" s="4"/>
      <c r="F1" s="4"/>
      <c r="G1" s="4"/>
    </row>
    <row r="3" spans="1:7" x14ac:dyDescent="0.45">
      <c r="A3" s="1" t="s">
        <v>75</v>
      </c>
      <c r="B3" s="1" t="s">
        <v>76</v>
      </c>
      <c r="C3" s="1" t="s">
        <v>77</v>
      </c>
      <c r="D3" s="1" t="s">
        <v>78</v>
      </c>
      <c r="E3" s="1" t="s">
        <v>79</v>
      </c>
      <c r="F3" s="1" t="s">
        <v>80</v>
      </c>
      <c r="G3" s="1" t="s">
        <v>81</v>
      </c>
    </row>
    <row r="4" spans="1:7" x14ac:dyDescent="0.45">
      <c r="A4" s="1" t="s">
        <v>82</v>
      </c>
      <c r="B4" s="1" t="s">
        <v>83</v>
      </c>
      <c r="C4" s="1" t="s">
        <v>84</v>
      </c>
      <c r="D4" s="2">
        <v>2600000</v>
      </c>
      <c r="E4" s="2">
        <v>1168000</v>
      </c>
      <c r="F4" s="2">
        <f>(D4+E4)*16%</f>
        <v>602880</v>
      </c>
      <c r="G4" s="2">
        <f>D4+E4-F4</f>
        <v>3165120</v>
      </c>
    </row>
    <row r="5" spans="1:7" x14ac:dyDescent="0.45">
      <c r="A5" s="1" t="s">
        <v>85</v>
      </c>
      <c r="B5" s="1" t="s">
        <v>83</v>
      </c>
      <c r="C5" s="1" t="s">
        <v>86</v>
      </c>
      <c r="D5" s="2">
        <v>2050000</v>
      </c>
      <c r="E5" s="2">
        <v>863000</v>
      </c>
      <c r="F5" s="2">
        <f t="shared" ref="F5:F15" si="0">(D5+E5)*16%</f>
        <v>466080</v>
      </c>
      <c r="G5" s="2">
        <f t="shared" ref="G5:G15" si="1">D5+E5-F5</f>
        <v>2446920</v>
      </c>
    </row>
    <row r="6" spans="1:7" x14ac:dyDescent="0.45">
      <c r="A6" s="1" t="s">
        <v>87</v>
      </c>
      <c r="B6" s="1" t="s">
        <v>88</v>
      </c>
      <c r="C6" s="1" t="s">
        <v>86</v>
      </c>
      <c r="D6" s="2">
        <v>2100000</v>
      </c>
      <c r="E6" s="2">
        <v>1035000</v>
      </c>
      <c r="F6" s="2">
        <f t="shared" si="0"/>
        <v>501600</v>
      </c>
      <c r="G6" s="2">
        <f t="shared" si="1"/>
        <v>2633400</v>
      </c>
    </row>
    <row r="7" spans="1:7" x14ac:dyDescent="0.45">
      <c r="A7" s="1" t="s">
        <v>89</v>
      </c>
      <c r="B7" s="1" t="s">
        <v>90</v>
      </c>
      <c r="C7" s="1" t="s">
        <v>84</v>
      </c>
      <c r="D7" s="2">
        <v>2550000</v>
      </c>
      <c r="E7" s="2">
        <v>768000</v>
      </c>
      <c r="F7" s="2">
        <f t="shared" si="0"/>
        <v>530880</v>
      </c>
      <c r="G7" s="2">
        <f t="shared" si="1"/>
        <v>2787120</v>
      </c>
    </row>
    <row r="8" spans="1:7" x14ac:dyDescent="0.45">
      <c r="A8" s="1" t="s">
        <v>91</v>
      </c>
      <c r="B8" s="1" t="s">
        <v>88</v>
      </c>
      <c r="C8" s="1" t="s">
        <v>84</v>
      </c>
      <c r="D8" s="2">
        <v>2550000</v>
      </c>
      <c r="E8" s="2">
        <v>924000</v>
      </c>
      <c r="F8" s="2">
        <f t="shared" si="0"/>
        <v>555840</v>
      </c>
      <c r="G8" s="2">
        <f t="shared" si="1"/>
        <v>2918160</v>
      </c>
    </row>
    <row r="9" spans="1:7" x14ac:dyDescent="0.45">
      <c r="A9" s="1" t="s">
        <v>92</v>
      </c>
      <c r="B9" s="1" t="s">
        <v>90</v>
      </c>
      <c r="C9" s="1" t="s">
        <v>86</v>
      </c>
      <c r="D9" s="2">
        <v>2150000</v>
      </c>
      <c r="E9" s="2">
        <v>975000</v>
      </c>
      <c r="F9" s="2">
        <f t="shared" si="0"/>
        <v>500000</v>
      </c>
      <c r="G9" s="2">
        <f t="shared" si="1"/>
        <v>2625000</v>
      </c>
    </row>
    <row r="10" spans="1:7" x14ac:dyDescent="0.45">
      <c r="A10" s="1" t="s">
        <v>93</v>
      </c>
      <c r="B10" s="1" t="s">
        <v>83</v>
      </c>
      <c r="C10" s="1" t="s">
        <v>86</v>
      </c>
      <c r="D10" s="2">
        <v>2150000</v>
      </c>
      <c r="E10" s="2">
        <v>1005000</v>
      </c>
      <c r="F10" s="2">
        <f t="shared" si="0"/>
        <v>504800</v>
      </c>
      <c r="G10" s="2">
        <f t="shared" si="1"/>
        <v>2650200</v>
      </c>
    </row>
    <row r="11" spans="1:7" x14ac:dyDescent="0.45">
      <c r="A11" s="1" t="s">
        <v>94</v>
      </c>
      <c r="B11" s="1" t="s">
        <v>88</v>
      </c>
      <c r="C11" s="1" t="s">
        <v>86</v>
      </c>
      <c r="D11" s="2">
        <v>2050000</v>
      </c>
      <c r="E11" s="2">
        <v>894000</v>
      </c>
      <c r="F11" s="2">
        <f t="shared" si="0"/>
        <v>471040</v>
      </c>
      <c r="G11" s="2">
        <f t="shared" si="1"/>
        <v>2472960</v>
      </c>
    </row>
    <row r="12" spans="1:7" x14ac:dyDescent="0.45">
      <c r="A12" s="1" t="s">
        <v>95</v>
      </c>
      <c r="B12" s="1" t="s">
        <v>88</v>
      </c>
      <c r="C12" s="1" t="s">
        <v>84</v>
      </c>
      <c r="D12" s="2">
        <v>2600000</v>
      </c>
      <c r="E12" s="2">
        <v>1245000</v>
      </c>
      <c r="F12" s="2">
        <f t="shared" si="0"/>
        <v>615200</v>
      </c>
      <c r="G12" s="2">
        <f t="shared" si="1"/>
        <v>3229800</v>
      </c>
    </row>
    <row r="13" spans="1:7" x14ac:dyDescent="0.45">
      <c r="A13" s="1" t="s">
        <v>96</v>
      </c>
      <c r="B13" s="1" t="s">
        <v>90</v>
      </c>
      <c r="C13" s="1" t="s">
        <v>86</v>
      </c>
      <c r="D13" s="2">
        <v>2100000</v>
      </c>
      <c r="E13" s="2">
        <v>886000</v>
      </c>
      <c r="F13" s="2">
        <f t="shared" si="0"/>
        <v>477760</v>
      </c>
      <c r="G13" s="2">
        <f t="shared" si="1"/>
        <v>2508240</v>
      </c>
    </row>
    <row r="14" spans="1:7" x14ac:dyDescent="0.45">
      <c r="A14" s="1" t="s">
        <v>97</v>
      </c>
      <c r="B14" s="1" t="s">
        <v>83</v>
      </c>
      <c r="C14" s="1" t="s">
        <v>84</v>
      </c>
      <c r="D14" s="2">
        <v>2650000</v>
      </c>
      <c r="E14" s="2">
        <v>795000</v>
      </c>
      <c r="F14" s="2">
        <f t="shared" si="0"/>
        <v>551200</v>
      </c>
      <c r="G14" s="2">
        <f t="shared" si="1"/>
        <v>2893800</v>
      </c>
    </row>
    <row r="15" spans="1:7" x14ac:dyDescent="0.45">
      <c r="A15" s="1" t="s">
        <v>98</v>
      </c>
      <c r="B15" s="1" t="s">
        <v>90</v>
      </c>
      <c r="C15" s="1" t="s">
        <v>84</v>
      </c>
      <c r="D15" s="2">
        <v>2600000</v>
      </c>
      <c r="E15" s="2">
        <v>1212000</v>
      </c>
      <c r="F15" s="2">
        <f t="shared" si="0"/>
        <v>609920</v>
      </c>
      <c r="G15" s="2">
        <f t="shared" si="1"/>
        <v>3202080</v>
      </c>
    </row>
  </sheetData>
  <mergeCells count="1">
    <mergeCell ref="A1:G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5</vt:i4>
      </vt:variant>
    </vt:vector>
  </HeadingPairs>
  <TitlesOfParts>
    <vt:vector size="5" baseType="lpstr">
      <vt:lpstr>출제유형_01</vt:lpstr>
      <vt:lpstr>02</vt:lpstr>
      <vt:lpstr>대표기출문제_기출1</vt:lpstr>
      <vt:lpstr>기출2</vt:lpstr>
      <vt:lpstr>기출3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김종일</cp:lastModifiedBy>
  <dcterms:created xsi:type="dcterms:W3CDTF">2023-04-27T08:01:32Z</dcterms:created>
  <dcterms:modified xsi:type="dcterms:W3CDTF">2024-02-08T04:46:55Z</dcterms:modified>
</cp:coreProperties>
</file>