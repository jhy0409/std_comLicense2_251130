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FF7E8198-971B-4F17-8E3F-8507FD57F7E7}" xr6:coauthVersionLast="47" xr6:coauthVersionMax="47" xr10:uidLastSave="{00000000-0000-0000-0000-000000000000}"/>
  <bookViews>
    <workbookView xWindow="14130" yWindow="1935" windowWidth="14460" windowHeight="11325" tabRatio="926" activeTab="5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1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13" i="1" l="1"/>
  <c r="D25" i="1"/>
  <c r="D26" i="1"/>
  <c r="D27" i="1"/>
  <c r="D28" i="1"/>
  <c r="D29" i="1"/>
  <c r="D30" i="1"/>
  <c r="D24" i="1"/>
  <c r="I14" i="1"/>
  <c r="I15" i="1"/>
  <c r="I16" i="1"/>
  <c r="I17" i="1"/>
  <c r="I18" i="1"/>
  <c r="I19" i="1"/>
  <c r="I20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B4" i="11"/>
  <c r="B5" i="11"/>
  <c r="B6" i="11"/>
  <c r="E3" i="11" s="1"/>
  <c r="B7" i="11"/>
  <c r="B3" i="11"/>
  <c r="F7" i="10"/>
  <c r="E7" i="10"/>
  <c r="F6" i="10"/>
  <c r="E6" i="10"/>
  <c r="F5" i="10"/>
  <c r="E5" i="10"/>
  <c r="F4" i="10"/>
  <c r="E4" i="10"/>
  <c r="F3" i="10"/>
  <c r="E3" i="10"/>
  <c r="D4" i="8"/>
  <c r="D5" i="8"/>
  <c r="D6" i="8"/>
  <c r="D7" i="8"/>
  <c r="D3" i="8"/>
  <c r="E4" i="6"/>
  <c r="E5" i="6"/>
  <c r="E6" i="6"/>
  <c r="E7" i="6"/>
  <c r="E3" i="6"/>
  <c r="D4" i="9" l="1"/>
  <c r="D5" i="9"/>
  <c r="D6" i="9"/>
  <c r="D7" i="9"/>
  <c r="D3" i="9"/>
</calcChain>
</file>

<file path=xl/sharedStrings.xml><?xml version="1.0" encoding="utf-8"?>
<sst xmlns="http://schemas.openxmlformats.org/spreadsheetml/2006/main" count="151" uniqueCount="126">
  <si>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</si>
  <si>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</si>
  <si>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</si>
  <si>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</si>
  <si>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</si>
  <si>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</si>
  <si>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</si>
  <si>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</si>
  <si>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</si>
  <si>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</si>
  <si>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</si>
  <si>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</si>
  <si>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</si>
  <si>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</si>
  <si>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</si>
  <si>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</si>
  <si>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</si>
  <si>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</si>
  <si>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</si>
  <si>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</si>
  <si>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</si>
  <si>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</si>
  <si>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</si>
  <si>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</si>
  <si>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</si>
  <si>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</si>
  <si>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</si>
  <si>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</si>
  <si>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</si>
  <si>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</si>
  <si>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</si>
  <si>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</si>
  <si>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</si>
  <si>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</si>
  <si>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</si>
  <si>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</si>
  <si>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</si>
  <si>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</si>
  <si>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</si>
  <si>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</si>
  <si>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</si>
  <si>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</si>
  <si>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</si>
  <si>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</si>
  <si>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</si>
  <si>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</si>
  <si>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[표1]</t>
    <phoneticPr fontId="1" type="noConversion"/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</si>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</sst>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workbookViewId="0">
      <selection activeCell="E3" sqref="E3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IF(AND(DAY(D3)&gt;=10,DAY(D3)&lt;=20),"발송","")</f>
        <v/>
      </c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IF(AND(DAY(D4)&gt;=10,DAY(D4)&lt;=20),"발송","")</f>
        <v>발송</v>
      </c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>
      <selection activeCell="D3" sqref="D3"/>
    </sheetView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>
        <f>DATE(LEFT(C3,2),MID(C3,3,2),MID(C3,5,2))</f>
        <v>32767</v>
      </c>
    </row>
    <row r="4" spans="1:4" x14ac:dyDescent="0.3">
      <c r="A4" s="2" t="s">
        <v>28</v>
      </c>
      <c r="B4" s="2" t="s">
        <v>29</v>
      </c>
      <c r="C4" s="2" t="s">
        <v>30</v>
      </c>
      <c r="D4" s="3">
        <f t="shared" ref="D4:D7" si="0">DATE(LEFT(C4,2),MID(C4,3,2),MID(C4,5,2))</f>
        <v>33539</v>
      </c>
    </row>
    <row r="5" spans="1:4" x14ac:dyDescent="0.3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3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3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46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3" t="str">
        <f>MONTH(WORKDAY(B3,C3))&amp;"/"&amp;DAY(WORKDAY(B3,C3))</f>
        <v>3/25</v>
      </c>
    </row>
    <row r="4" spans="1:4" x14ac:dyDescent="0.3">
      <c r="A4" s="2" t="s">
        <v>42</v>
      </c>
      <c r="B4" s="3">
        <v>45369</v>
      </c>
      <c r="C4" s="2">
        <v>5</v>
      </c>
      <c r="D4" s="3" t="str">
        <f t="shared" ref="D4:D7" si="0">MONTH(WORKDAY(B4,C4))&amp;"/"&amp;DAY(WORKDAY(B4,C4))</f>
        <v>3/25</v>
      </c>
    </row>
    <row r="5" spans="1:4" x14ac:dyDescent="0.3">
      <c r="A5" s="2" t="s">
        <v>43</v>
      </c>
      <c r="B5" s="3">
        <v>45374</v>
      </c>
      <c r="C5" s="2">
        <v>7</v>
      </c>
      <c r="D5" s="3" t="str">
        <f t="shared" si="0"/>
        <v>4/2</v>
      </c>
    </row>
    <row r="6" spans="1:4" x14ac:dyDescent="0.3">
      <c r="A6" s="2" t="s">
        <v>44</v>
      </c>
      <c r="B6" s="3">
        <v>45377</v>
      </c>
      <c r="C6" s="2">
        <v>6</v>
      </c>
      <c r="D6" s="3" t="str">
        <f t="shared" si="0"/>
        <v>4/3</v>
      </c>
    </row>
    <row r="7" spans="1:4" x14ac:dyDescent="0.3">
      <c r="A7" s="2" t="s">
        <v>45</v>
      </c>
      <c r="B7" s="3">
        <v>45381</v>
      </c>
      <c r="C7" s="2">
        <v>5</v>
      </c>
      <c r="D7" s="3" t="str">
        <f t="shared" si="0"/>
        <v>4/5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>
      <selection activeCell="E3" sqref="E3"/>
    </sheetView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47</v>
      </c>
      <c r="B2" s="2" t="s">
        <v>48</v>
      </c>
      <c r="C2" s="2" t="s">
        <v>49</v>
      </c>
      <c r="D2" s="2" t="s">
        <v>50</v>
      </c>
      <c r="E2" s="4" t="s">
        <v>51</v>
      </c>
      <c r="F2" s="4" t="s">
        <v>52</v>
      </c>
    </row>
    <row r="3" spans="1:6" x14ac:dyDescent="0.3">
      <c r="A3" s="2" t="s">
        <v>53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0.38125000000000003</v>
      </c>
      <c r="F3" s="8">
        <f>IF(RIGHT(A3,2)="천안",(D3-B3)+TIME(,2,),D3-B3)</f>
        <v>0.26874999999999999</v>
      </c>
    </row>
    <row r="4" spans="1:6" x14ac:dyDescent="0.3">
      <c r="A4" s="2" t="s">
        <v>54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8">
        <f t="shared" ref="F4:F7" si="1">IF(RIGHT(A4,2)="천안",(D4-B4)+TIME(,2,),D4-B4)</f>
        <v>0.20555555555555555</v>
      </c>
    </row>
    <row r="5" spans="1:6" x14ac:dyDescent="0.3">
      <c r="A5" s="2" t="s">
        <v>55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8">
        <f t="shared" si="1"/>
        <v>0.29305555555555557</v>
      </c>
    </row>
    <row r="6" spans="1:6" x14ac:dyDescent="0.3">
      <c r="A6" s="2" t="s">
        <v>56</v>
      </c>
      <c r="B6" s="8">
        <v>0.39305555555555555</v>
      </c>
      <c r="C6" s="2">
        <v>5</v>
      </c>
      <c r="D6" s="8">
        <v>0.62152777777777779</v>
      </c>
      <c r="E6" s="8">
        <f t="shared" si="0"/>
        <v>0.39999999999999997</v>
      </c>
      <c r="F6" s="8">
        <f t="shared" si="1"/>
        <v>0.22986111111111113</v>
      </c>
    </row>
    <row r="7" spans="1:6" x14ac:dyDescent="0.3">
      <c r="A7" s="2" t="s">
        <v>57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0.40277777777777773</v>
      </c>
      <c r="F7" s="8">
        <f t="shared" si="1"/>
        <v>0.25625000000000003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E7"/>
  <sheetViews>
    <sheetView workbookViewId="0">
      <selection activeCell="E3" sqref="E3"/>
    </sheetView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48</v>
      </c>
      <c r="B2" s="2" t="s">
        <v>123</v>
      </c>
      <c r="C2" s="2" t="s">
        <v>51</v>
      </c>
      <c r="D2" s="10" t="s">
        <v>58</v>
      </c>
      <c r="E2" s="4" t="s">
        <v>124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 t="str">
        <f>HOUR(SMALL(B3:B7,1))&amp;"시간"&amp;MINUTE(SMALL(B3:B7,1))&amp;"분"&amp;SECOND(SMALL(B3:B7,1))&amp;"초"</f>
        <v>1시간12분25초</v>
      </c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tabSelected="1" workbookViewId="0">
      <selection activeCell="D24" sqref="D24"/>
    </sheetView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59</v>
      </c>
      <c r="F1" s="5" t="s">
        <v>60</v>
      </c>
      <c r="G1" s="6" t="s">
        <v>61</v>
      </c>
    </row>
    <row r="2" spans="1:9" x14ac:dyDescent="0.3">
      <c r="A2" s="2" t="s">
        <v>62</v>
      </c>
      <c r="B2" s="2" t="s">
        <v>48</v>
      </c>
      <c r="C2" s="2" t="s">
        <v>63</v>
      </c>
      <c r="D2" s="4" t="s">
        <v>51</v>
      </c>
      <c r="F2" s="2" t="s">
        <v>64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65</v>
      </c>
      <c r="B3" s="8">
        <v>0.55138888888888882</v>
      </c>
      <c r="C3" s="2">
        <v>6</v>
      </c>
      <c r="D3" s="8">
        <f>TIME(HOUR(B3),MINUTE(B3)+C3*6,0)</f>
        <v>0.57638888888888895</v>
      </c>
      <c r="F3" s="2" t="s">
        <v>66</v>
      </c>
      <c r="G3" s="2" t="s">
        <v>67</v>
      </c>
      <c r="H3" s="2" t="s">
        <v>68</v>
      </c>
      <c r="I3" s="3">
        <f>DATE(2000+LEFT(H3,2),MID(H3,3,2),MID(H3,5,2))</f>
        <v>37014</v>
      </c>
    </row>
    <row r="4" spans="1:9" x14ac:dyDescent="0.3">
      <c r="A4" s="2" t="s">
        <v>69</v>
      </c>
      <c r="B4" s="8">
        <v>0.56805555555555554</v>
      </c>
      <c r="C4" s="2">
        <v>5</v>
      </c>
      <c r="D4" s="8">
        <f t="shared" ref="D4:D9" si="0">TIME(HOUR(B4),MINUTE(B4)+C4*6,0)</f>
        <v>0.58888888888888891</v>
      </c>
      <c r="F4" s="2" t="s">
        <v>70</v>
      </c>
      <c r="G4" s="2" t="s">
        <v>71</v>
      </c>
      <c r="H4" s="2" t="s">
        <v>72</v>
      </c>
      <c r="I4" s="3">
        <f t="shared" ref="I4:I9" si="1">DATE(2000+LEFT(H4,2),MID(H4,3,2),MID(H4,5,2))</f>
        <v>37933</v>
      </c>
    </row>
    <row r="5" spans="1:9" x14ac:dyDescent="0.3">
      <c r="A5" s="2" t="s">
        <v>73</v>
      </c>
      <c r="B5" s="8">
        <v>0.60069444444444442</v>
      </c>
      <c r="C5" s="2">
        <v>3</v>
      </c>
      <c r="D5" s="8">
        <f t="shared" si="0"/>
        <v>0.61319444444444449</v>
      </c>
      <c r="F5" s="2" t="s">
        <v>74</v>
      </c>
      <c r="G5" s="2" t="s">
        <v>71</v>
      </c>
      <c r="H5" s="2" t="s">
        <v>75</v>
      </c>
      <c r="I5" s="3">
        <f t="shared" si="1"/>
        <v>38431</v>
      </c>
    </row>
    <row r="6" spans="1:9" x14ac:dyDescent="0.3">
      <c r="A6" s="2" t="s">
        <v>76</v>
      </c>
      <c r="B6" s="8">
        <v>0.62361111111111112</v>
      </c>
      <c r="C6" s="2">
        <v>7</v>
      </c>
      <c r="D6" s="8">
        <f t="shared" si="0"/>
        <v>0.65277777777777779</v>
      </c>
      <c r="F6" s="2" t="s">
        <v>77</v>
      </c>
      <c r="G6" s="2" t="s">
        <v>71</v>
      </c>
      <c r="H6" s="2" t="s">
        <v>78</v>
      </c>
      <c r="I6" s="3">
        <f t="shared" si="1"/>
        <v>37905</v>
      </c>
    </row>
    <row r="7" spans="1:9" x14ac:dyDescent="0.3">
      <c r="A7" s="2" t="s">
        <v>79</v>
      </c>
      <c r="B7" s="8">
        <v>0.64374999999999993</v>
      </c>
      <c r="C7" s="2">
        <v>5</v>
      </c>
      <c r="D7" s="8">
        <f t="shared" si="0"/>
        <v>0.6645833333333333</v>
      </c>
      <c r="F7" s="2" t="s">
        <v>80</v>
      </c>
      <c r="G7" s="2" t="s">
        <v>67</v>
      </c>
      <c r="H7" s="2" t="s">
        <v>81</v>
      </c>
      <c r="I7" s="3">
        <f t="shared" si="1"/>
        <v>38887</v>
      </c>
    </row>
    <row r="8" spans="1:9" x14ac:dyDescent="0.3">
      <c r="A8" s="2" t="s">
        <v>82</v>
      </c>
      <c r="B8" s="8">
        <v>0.66319444444444442</v>
      </c>
      <c r="C8" s="2">
        <v>8</v>
      </c>
      <c r="D8" s="8">
        <f t="shared" si="0"/>
        <v>0.69652777777777775</v>
      </c>
      <c r="F8" s="2" t="s">
        <v>83</v>
      </c>
      <c r="G8" s="2" t="s">
        <v>67</v>
      </c>
      <c r="H8" s="2" t="s">
        <v>84</v>
      </c>
      <c r="I8" s="3">
        <f t="shared" si="1"/>
        <v>39752</v>
      </c>
    </row>
    <row r="9" spans="1:9" x14ac:dyDescent="0.3">
      <c r="A9" s="2" t="s">
        <v>85</v>
      </c>
      <c r="B9" s="8">
        <v>0.69513888888888886</v>
      </c>
      <c r="C9" s="2">
        <v>2</v>
      </c>
      <c r="D9" s="8">
        <f t="shared" si="0"/>
        <v>0.70347222222222217</v>
      </c>
      <c r="F9" s="2" t="s">
        <v>86</v>
      </c>
      <c r="G9" s="2" t="s">
        <v>71</v>
      </c>
      <c r="H9" s="2" t="s">
        <v>87</v>
      </c>
      <c r="I9" s="3">
        <f t="shared" si="1"/>
        <v>37494</v>
      </c>
    </row>
    <row r="11" spans="1:9" x14ac:dyDescent="0.3">
      <c r="A11" s="5" t="s">
        <v>88</v>
      </c>
      <c r="B11" s="6" t="s">
        <v>89</v>
      </c>
      <c r="F11" s="5" t="s">
        <v>90</v>
      </c>
      <c r="G11" s="6" t="s">
        <v>91</v>
      </c>
    </row>
    <row r="12" spans="1:9" x14ac:dyDescent="0.3">
      <c r="A12" s="2" t="s">
        <v>92</v>
      </c>
      <c r="B12" s="2" t="s">
        <v>93</v>
      </c>
      <c r="C12" s="2" t="s">
        <v>50</v>
      </c>
      <c r="D12" s="4" t="s">
        <v>94</v>
      </c>
      <c r="F12" s="2" t="s">
        <v>95</v>
      </c>
      <c r="G12" s="2" t="s">
        <v>96</v>
      </c>
      <c r="H12" s="2" t="s">
        <v>97</v>
      </c>
      <c r="I12" s="4" t="s">
        <v>98</v>
      </c>
    </row>
    <row r="13" spans="1:9" x14ac:dyDescent="0.3">
      <c r="A13" s="2" t="s">
        <v>99</v>
      </c>
      <c r="B13" s="8">
        <v>0.55555555555555558</v>
      </c>
      <c r="C13" s="8">
        <v>0.64583333333333337</v>
      </c>
      <c r="D13" s="7">
        <f>(HOUR(C13-B13)*60+MINUTE(C13-B13))/10*300</f>
        <v>3900</v>
      </c>
      <c r="F13" s="2" t="s">
        <v>100</v>
      </c>
      <c r="G13" s="2">
        <v>2</v>
      </c>
      <c r="H13" s="3">
        <v>45448</v>
      </c>
      <c r="I13" s="3">
        <f>WORKDAY(H13,G13)</f>
        <v>45450</v>
      </c>
    </row>
    <row r="14" spans="1:9" x14ac:dyDescent="0.3">
      <c r="A14" s="2" t="s">
        <v>101</v>
      </c>
      <c r="B14" s="8">
        <v>0.55902777777777779</v>
      </c>
      <c r="C14" s="8">
        <v>0.66666666666666663</v>
      </c>
      <c r="D14" s="7">
        <f t="shared" ref="D14:D20" si="2">(HOUR(C14-B14)*60+MINUTE(C14-B14))/10*300</f>
        <v>4650</v>
      </c>
      <c r="F14" s="2" t="s">
        <v>102</v>
      </c>
      <c r="G14" s="2">
        <v>3</v>
      </c>
      <c r="H14" s="3">
        <v>45448</v>
      </c>
      <c r="I14" s="3">
        <f t="shared" ref="I14:I20" si="3">WORKDAY(H14,G14)</f>
        <v>45453</v>
      </c>
    </row>
    <row r="15" spans="1:9" x14ac:dyDescent="0.3">
      <c r="A15" s="2" t="s">
        <v>103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104</v>
      </c>
      <c r="G15" s="2">
        <v>2</v>
      </c>
      <c r="H15" s="3">
        <v>45454</v>
      </c>
      <c r="I15" s="3">
        <f t="shared" si="3"/>
        <v>45456</v>
      </c>
    </row>
    <row r="16" spans="1:9" x14ac:dyDescent="0.3">
      <c r="A16" s="2" t="s">
        <v>105</v>
      </c>
      <c r="B16" s="8">
        <v>0.58333333333333337</v>
      </c>
      <c r="C16" s="8">
        <v>0.65625</v>
      </c>
      <c r="D16" s="7">
        <f t="shared" si="2"/>
        <v>3150</v>
      </c>
      <c r="F16" s="2" t="s">
        <v>106</v>
      </c>
      <c r="G16" s="2">
        <v>2</v>
      </c>
      <c r="H16" s="3">
        <v>45454</v>
      </c>
      <c r="I16" s="3">
        <f t="shared" si="3"/>
        <v>45456</v>
      </c>
    </row>
    <row r="17" spans="1:9" x14ac:dyDescent="0.3">
      <c r="A17" s="2" t="s">
        <v>107</v>
      </c>
      <c r="B17" s="8">
        <v>0.59375</v>
      </c>
      <c r="C17" s="8">
        <v>0.6875</v>
      </c>
      <c r="D17" s="7">
        <f t="shared" si="2"/>
        <v>4050</v>
      </c>
      <c r="F17" s="2" t="s">
        <v>108</v>
      </c>
      <c r="G17" s="2">
        <v>3</v>
      </c>
      <c r="H17" s="3">
        <v>45454</v>
      </c>
      <c r="I17" s="3">
        <f t="shared" si="3"/>
        <v>45457</v>
      </c>
    </row>
    <row r="18" spans="1:9" x14ac:dyDescent="0.3">
      <c r="A18" s="2" t="s">
        <v>109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110</v>
      </c>
      <c r="G18" s="2">
        <v>4</v>
      </c>
      <c r="H18" s="3">
        <v>45465</v>
      </c>
      <c r="I18" s="3">
        <f t="shared" si="3"/>
        <v>45470</v>
      </c>
    </row>
    <row r="19" spans="1:9" x14ac:dyDescent="0.3">
      <c r="A19" s="2" t="s">
        <v>111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112</v>
      </c>
      <c r="G19" s="2">
        <v>2</v>
      </c>
      <c r="H19" s="3">
        <v>45465</v>
      </c>
      <c r="I19" s="3">
        <f t="shared" si="3"/>
        <v>45468</v>
      </c>
    </row>
    <row r="20" spans="1:9" x14ac:dyDescent="0.3">
      <c r="A20" s="2" t="s">
        <v>113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114</v>
      </c>
      <c r="G20" s="2">
        <v>3</v>
      </c>
      <c r="H20" s="3">
        <v>45468</v>
      </c>
      <c r="I20" s="3">
        <f t="shared" si="3"/>
        <v>45471</v>
      </c>
    </row>
    <row r="22" spans="1:9" x14ac:dyDescent="0.3">
      <c r="A22" s="5" t="s">
        <v>115</v>
      </c>
      <c r="B22" s="6" t="s">
        <v>116</v>
      </c>
    </row>
    <row r="23" spans="1:9" x14ac:dyDescent="0.3">
      <c r="A23" s="2" t="s">
        <v>47</v>
      </c>
      <c r="B23" s="2" t="s">
        <v>48</v>
      </c>
      <c r="C23" s="2" t="s">
        <v>51</v>
      </c>
      <c r="D23" s="4" t="s">
        <v>52</v>
      </c>
    </row>
    <row r="24" spans="1:9" x14ac:dyDescent="0.3">
      <c r="A24" s="2" t="s">
        <v>117</v>
      </c>
      <c r="B24" s="8">
        <v>0.3888888888888889</v>
      </c>
      <c r="C24" s="8">
        <v>0.55208333333333337</v>
      </c>
      <c r="D24" s="8">
        <f>IF(LEFT(A24,2)="공항",(C24-B24)+TIME(,2,),C24-B24)</f>
        <v>0.16458333333333336</v>
      </c>
    </row>
    <row r="25" spans="1:9" x14ac:dyDescent="0.3">
      <c r="A25" s="2" t="s">
        <v>118</v>
      </c>
      <c r="B25" s="8">
        <v>0.39930555555555558</v>
      </c>
      <c r="C25" s="8">
        <v>0.49652777777777773</v>
      </c>
      <c r="D25" s="8">
        <f t="shared" ref="D25:D30" si="4">IF(LEFT(A25,2)="공항",(C25-B25)+TIME(,2,),C25-B25)</f>
        <v>9.7222222222222154E-2</v>
      </c>
      <c r="F25" t="s">
        <v>125</v>
      </c>
    </row>
    <row r="26" spans="1:9" x14ac:dyDescent="0.3">
      <c r="A26" s="2" t="s">
        <v>119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3">
      <c r="A27" s="2" t="s">
        <v>120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3">
      <c r="A28" s="2" t="s">
        <v>121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3">
      <c r="A29" s="2" t="s">
        <v>122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3">
      <c r="A30" s="2" t="s">
        <v>118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2025-12-05T05:32:51Z</dcterms:modified>
</cp:coreProperties>
</file>